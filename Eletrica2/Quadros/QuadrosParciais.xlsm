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workspace\Eletrica\Quadros\"/>
    </mc:Choice>
  </mc:AlternateContent>
  <bookViews>
    <workbookView xWindow="0" yWindow="0" windowWidth="20490" windowHeight="7755" tabRatio="781" activeTab="8"/>
  </bookViews>
  <sheets>
    <sheet name="QGFpag16" sheetId="112" r:id="rId1"/>
    <sheet name="QDLpag16" sheetId="111" r:id="rId2"/>
    <sheet name="CCM2pag16" sheetId="110" r:id="rId3"/>
    <sheet name="CCM1pag16" sheetId="109" r:id="rId4"/>
    <sheet name="ExApostila" sheetId="106" r:id="rId5"/>
    <sheet name="QG" sheetId="105" r:id="rId6"/>
    <sheet name="ex111" sheetId="104" r:id="rId7"/>
    <sheet name="ex109" sheetId="103" r:id="rId8"/>
    <sheet name="QDL2" sheetId="102" r:id="rId9"/>
    <sheet name="QDL1" sheetId="101" r:id="rId10"/>
    <sheet name="CCM" sheetId="100" r:id="rId11"/>
    <sheet name="Disjuntores" sheetId="65" r:id="rId12"/>
    <sheet name="Listas" sheetId="67" r:id="rId13"/>
    <sheet name="Neutro e Terra" sheetId="68" r:id="rId14"/>
    <sheet name="Cap de corrente" sheetId="70" r:id="rId15"/>
    <sheet name="Fator de agrupamento" sheetId="71" r:id="rId16"/>
    <sheet name="Método" sheetId="73" r:id="rId17"/>
    <sheet name="Fator de temperatura" sheetId="74" r:id="rId18"/>
  </sheets>
  <calcPr calcId="152511"/>
</workbook>
</file>

<file path=xl/calcChain.xml><?xml version="1.0" encoding="utf-8"?>
<calcChain xmlns="http://schemas.openxmlformats.org/spreadsheetml/2006/main">
  <c r="A2" i="112" l="1"/>
  <c r="O5" i="111" l="1"/>
  <c r="O4" i="111"/>
  <c r="A2" i="111"/>
  <c r="O5" i="110" l="1"/>
  <c r="O4" i="110"/>
  <c r="A2" i="110"/>
  <c r="O4" i="109" l="1"/>
  <c r="A2" i="109"/>
  <c r="O28" i="106" l="1"/>
  <c r="O27" i="106"/>
  <c r="O26" i="106"/>
  <c r="O25" i="106"/>
  <c r="O24" i="106"/>
  <c r="O23" i="106"/>
  <c r="O22" i="106"/>
  <c r="O21" i="106"/>
  <c r="O20" i="106"/>
  <c r="O19" i="106"/>
  <c r="O18" i="106"/>
  <c r="O17" i="106"/>
  <c r="O16" i="106"/>
  <c r="O15" i="106"/>
  <c r="O14" i="106"/>
  <c r="O13" i="106"/>
  <c r="O12" i="106"/>
  <c r="O11" i="106"/>
  <c r="O10" i="106"/>
  <c r="O9" i="106"/>
  <c r="O8" i="106"/>
  <c r="O7" i="106"/>
  <c r="O6" i="106"/>
  <c r="O5" i="106"/>
  <c r="O4" i="106"/>
  <c r="A2" i="106"/>
  <c r="A2" i="105" l="1"/>
  <c r="O9" i="104" l="1"/>
  <c r="O8" i="104" l="1"/>
  <c r="O7" i="104"/>
  <c r="O6" i="104"/>
  <c r="O5" i="104"/>
  <c r="O4" i="104"/>
  <c r="A2" i="104"/>
  <c r="O4" i="103" l="1"/>
  <c r="A2" i="103"/>
  <c r="O6" i="102" l="1"/>
  <c r="O5" i="102"/>
  <c r="O4" i="102"/>
  <c r="A2" i="102"/>
  <c r="O6" i="101" l="1"/>
  <c r="O5" i="101"/>
  <c r="O4" i="101"/>
  <c r="A2" i="101"/>
  <c r="O6" i="100" l="1"/>
  <c r="O5" i="100"/>
  <c r="O4" i="100" l="1"/>
  <c r="A2" i="100"/>
  <c r="C17" i="68" l="1"/>
  <c r="C16" i="68"/>
  <c r="C11" i="68"/>
  <c r="C10" i="68"/>
  <c r="C9" i="68"/>
  <c r="C8" i="68"/>
  <c r="C7" i="68"/>
  <c r="C6" i="68"/>
  <c r="C5" i="68"/>
  <c r="C4" i="68"/>
  <c r="C3" i="68"/>
</calcChain>
</file>

<file path=xl/sharedStrings.xml><?xml version="1.0" encoding="utf-8"?>
<sst xmlns="http://schemas.openxmlformats.org/spreadsheetml/2006/main" count="1770" uniqueCount="250">
  <si>
    <t>Tipo</t>
  </si>
  <si>
    <t>C</t>
  </si>
  <si>
    <t>Corrente nominal</t>
  </si>
  <si>
    <t>A1</t>
  </si>
  <si>
    <t>A2</t>
  </si>
  <si>
    <t>B1</t>
  </si>
  <si>
    <t>B2</t>
  </si>
  <si>
    <t>D</t>
  </si>
  <si>
    <t>Cobre</t>
  </si>
  <si>
    <t>1 012</t>
  </si>
  <si>
    <t>Alumínio</t>
  </si>
  <si>
    <t>1 154</t>
  </si>
  <si>
    <t>1 077</t>
  </si>
  <si>
    <t>1 026</t>
  </si>
  <si>
    <t>1 164</t>
  </si>
  <si>
    <t>1 056</t>
  </si>
  <si>
    <t>1 106</t>
  </si>
  <si>
    <t>1 351</t>
  </si>
  <si>
    <t>1 266</t>
  </si>
  <si>
    <t>1 186</t>
  </si>
  <si>
    <t>1 347</t>
  </si>
  <si>
    <t>1 226</t>
  </si>
  <si>
    <t>1 285</t>
  </si>
  <si>
    <t>1 565</t>
  </si>
  <si>
    <t>1 472</t>
  </si>
  <si>
    <t>Método de instalação</t>
  </si>
  <si>
    <t>Isolação</t>
  </si>
  <si>
    <t>PVC</t>
  </si>
  <si>
    <t>E</t>
  </si>
  <si>
    <t>F</t>
  </si>
  <si>
    <t>Potência</t>
  </si>
  <si>
    <t>Fs</t>
  </si>
  <si>
    <t>Material</t>
  </si>
  <si>
    <t>PA12</t>
  </si>
  <si>
    <t>PA13</t>
  </si>
  <si>
    <t>Bitola</t>
  </si>
  <si>
    <t>Monofásico</t>
  </si>
  <si>
    <t>Não</t>
  </si>
  <si>
    <t>Trifásico</t>
  </si>
  <si>
    <t>Iluminação</t>
  </si>
  <si>
    <t>U</t>
  </si>
  <si>
    <t>Tomada</t>
  </si>
  <si>
    <t>Bifásico</t>
  </si>
  <si>
    <t>tensão</t>
  </si>
  <si>
    <t>tipo circuito</t>
  </si>
  <si>
    <t>sistema</t>
  </si>
  <si>
    <t>n° polos</t>
  </si>
  <si>
    <t>uni ou mult</t>
  </si>
  <si>
    <t>isolação</t>
  </si>
  <si>
    <t>material</t>
  </si>
  <si>
    <t>valida</t>
  </si>
  <si>
    <t>Motor</t>
  </si>
  <si>
    <t>M</t>
  </si>
  <si>
    <t>XLPE ou EPR</t>
  </si>
  <si>
    <t>Sim</t>
  </si>
  <si>
    <t>Local ou descrição</t>
  </si>
  <si>
    <t>Ponto de força</t>
  </si>
  <si>
    <t>Reserva</t>
  </si>
  <si>
    <t>Fsm</t>
  </si>
  <si>
    <t>Fase</t>
  </si>
  <si>
    <t>Neutro</t>
  </si>
  <si>
    <t>Terra</t>
  </si>
  <si>
    <t>Alimentador</t>
  </si>
  <si>
    <t>n° polos motor</t>
  </si>
  <si>
    <t>UT</t>
  </si>
  <si>
    <t>UH</t>
  </si>
  <si>
    <t>UV</t>
  </si>
  <si>
    <t>PA22</t>
  </si>
  <si>
    <t>PA23</t>
  </si>
  <si>
    <t>PB12</t>
  </si>
  <si>
    <t>PB13</t>
  </si>
  <si>
    <t>PB22</t>
  </si>
  <si>
    <t>PB23</t>
  </si>
  <si>
    <t>PC2</t>
  </si>
  <si>
    <t>PC3</t>
  </si>
  <si>
    <t>PD2</t>
  </si>
  <si>
    <t>PD3</t>
  </si>
  <si>
    <t>XA12</t>
  </si>
  <si>
    <t>XA13</t>
  </si>
  <si>
    <t>XA22</t>
  </si>
  <si>
    <t>XA23</t>
  </si>
  <si>
    <t>XB12</t>
  </si>
  <si>
    <t>XB13</t>
  </si>
  <si>
    <t>XB22</t>
  </si>
  <si>
    <t>XB23</t>
  </si>
  <si>
    <t>XC2</t>
  </si>
  <si>
    <t>XC3</t>
  </si>
  <si>
    <t>XD2</t>
  </si>
  <si>
    <t>XD3</t>
  </si>
  <si>
    <t>PE2</t>
  </si>
  <si>
    <t>PE3</t>
  </si>
  <si>
    <t>PF2</t>
  </si>
  <si>
    <t>PF3</t>
  </si>
  <si>
    <t>XE2</t>
  </si>
  <si>
    <t>XE3</t>
  </si>
  <si>
    <t>XF2</t>
  </si>
  <si>
    <t>XF3</t>
  </si>
  <si>
    <t>PFT3</t>
  </si>
  <si>
    <t>PGH3</t>
  </si>
  <si>
    <t>PGV3</t>
  </si>
  <si>
    <t>XGH3</t>
  </si>
  <si>
    <t>XGV3</t>
  </si>
  <si>
    <t>XFT3</t>
  </si>
  <si>
    <t>N°</t>
  </si>
  <si>
    <t>Qtd</t>
  </si>
  <si>
    <t>Rendi (motor)</t>
  </si>
  <si>
    <t>Pot unidade</t>
  </si>
  <si>
    <t>W</t>
  </si>
  <si>
    <t>Forma de Agrupamento</t>
  </si>
  <si>
    <t>Camada única no teto</t>
  </si>
  <si>
    <t>Camada única em bandeja perfurada</t>
  </si>
  <si>
    <t>Camadas</t>
  </si>
  <si>
    <t>Circuitos</t>
  </si>
  <si>
    <t>Nula</t>
  </si>
  <si>
    <t>1 Diâmetro</t>
  </si>
  <si>
    <t>0,125 m</t>
  </si>
  <si>
    <t>0,25 m</t>
  </si>
  <si>
    <t>0,50 m</t>
  </si>
  <si>
    <t>1 m</t>
  </si>
  <si>
    <t>0.8</t>
  </si>
  <si>
    <t>Esquema</t>
  </si>
  <si>
    <t>E (multipolar)</t>
  </si>
  <si>
    <t>F (unipolares)</t>
  </si>
  <si>
    <t>G</t>
  </si>
  <si>
    <t>Cabos unipolares ou cabos multipolares em espaco de sejam eles langados diretamente sobre a superficie do espago de construcao, sejam instalados em suportes ou condutos abertos (bandeja, prateleira, tela ou leito) dispostos no espago de construcao(5, 6)</t>
  </si>
  <si>
    <t>11A</t>
  </si>
  <si>
    <t>11B</t>
  </si>
  <si>
    <t>31A</t>
  </si>
  <si>
    <t>32A</t>
  </si>
  <si>
    <t>Método</t>
  </si>
  <si>
    <t>Descrição</t>
  </si>
  <si>
    <t>Referência</t>
  </si>
  <si>
    <t>Condutores isolados ou cabos uniolares em eletroduto de p
segao circular embutido em parede termicamente isolante</t>
  </si>
  <si>
    <t>Cabo multipolar em eletroduto
de segao circular embutido em
parede termicamente isolante(2)</t>
  </si>
  <si>
    <t>13E</t>
  </si>
  <si>
    <t>13F</t>
  </si>
  <si>
    <t>14E</t>
  </si>
  <si>
    <t>14F</t>
  </si>
  <si>
    <t>15E</t>
  </si>
  <si>
    <t>15F</t>
  </si>
  <si>
    <t>16E</t>
  </si>
  <si>
    <t>16F</t>
  </si>
  <si>
    <t>17E</t>
  </si>
  <si>
    <t>17F</t>
  </si>
  <si>
    <t>21B2</t>
  </si>
  <si>
    <t>21B1</t>
  </si>
  <si>
    <t>22B2</t>
  </si>
  <si>
    <t>22B1</t>
  </si>
  <si>
    <t>24B2</t>
  </si>
  <si>
    <t>24B1</t>
  </si>
  <si>
    <t>26B2</t>
  </si>
  <si>
    <t>26B1</t>
  </si>
  <si>
    <t>41B2</t>
  </si>
  <si>
    <t>41B1</t>
  </si>
  <si>
    <t>61A</t>
  </si>
  <si>
    <t>72A</t>
  </si>
  <si>
    <t>75A</t>
  </si>
  <si>
    <t>75B</t>
  </si>
  <si>
    <t>N° Cir ou cabos mult Agrupados</t>
  </si>
  <si>
    <t>Forma Agrupamento</t>
  </si>
  <si>
    <t>Cam única sobre parede, piso, ou em bandej não perf ou prateleira</t>
  </si>
  <si>
    <t>Nº de camadas</t>
  </si>
  <si>
    <t>Enterrado</t>
  </si>
  <si>
    <t>Cabo multipolar</t>
  </si>
  <si>
    <t>Espaçamento dos cabos</t>
  </si>
  <si>
    <t>Diretamente</t>
  </si>
  <si>
    <t>Em eletroduto</t>
  </si>
  <si>
    <t>Espaçamento</t>
  </si>
  <si>
    <t>Em feixe ao ar livre ou sobre superfície em condutores fechados</t>
  </si>
  <si>
    <t>Camada única em leito, suporte etc</t>
  </si>
  <si>
    <t>Temperatura (linhas não enterradas)</t>
  </si>
  <si>
    <t>Temperatura (linhas enterradas)</t>
  </si>
  <si>
    <t>Resistividade térmica (K.m/W)</t>
  </si>
  <si>
    <t>Fator de correção</t>
  </si>
  <si>
    <t>Resistividade térmica</t>
  </si>
  <si>
    <t>Corr de curto (KA)</t>
  </si>
  <si>
    <t>Tempo elim de defeito (s)</t>
  </si>
  <si>
    <t>Temperatura max admissível em regime normal do cond (°C)</t>
  </si>
  <si>
    <t>Temperatura max de curto circuito do cond (°C)</t>
  </si>
  <si>
    <t>CV</t>
  </si>
  <si>
    <t>VA</t>
  </si>
  <si>
    <t>Quadro</t>
  </si>
  <si>
    <t>FP quadro</t>
  </si>
  <si>
    <t>Instalação alimentador</t>
  </si>
  <si>
    <t>Isolação alimentador</t>
  </si>
  <si>
    <t>Material alimentador</t>
  </si>
  <si>
    <t>QT (%)</t>
  </si>
  <si>
    <t>DR Geral</t>
  </si>
  <si>
    <t>Local quadro</t>
  </si>
  <si>
    <t>Dist (m) alimentdor</t>
  </si>
  <si>
    <t>HP</t>
  </si>
  <si>
    <t>Unidade</t>
  </si>
  <si>
    <t>Setor de carga 1</t>
  </si>
  <si>
    <t>Perdas reator (W)</t>
  </si>
  <si>
    <t>Iluminação à descarga (Alto FP)</t>
  </si>
  <si>
    <t>Dist para o quadro (m)</t>
  </si>
  <si>
    <t>Demanda (W) 100%</t>
  </si>
  <si>
    <t>Bitolas sucessivas?</t>
  </si>
  <si>
    <t>Temperatura quadro</t>
  </si>
  <si>
    <t>Demanda (%)</t>
  </si>
  <si>
    <t>Temperatura circuito</t>
  </si>
  <si>
    <t>Equipamento</t>
  </si>
  <si>
    <t>Ligação do equipamento</t>
  </si>
  <si>
    <t>Fp</t>
  </si>
  <si>
    <t>Fd</t>
  </si>
  <si>
    <t>Ftutil (Motor)</t>
  </si>
  <si>
    <t>Material condutor</t>
  </si>
  <si>
    <t>QT Circuito (%)</t>
  </si>
  <si>
    <t>Cabo terra</t>
  </si>
  <si>
    <t>FF</t>
  </si>
  <si>
    <t>FFF</t>
  </si>
  <si>
    <t>FN</t>
  </si>
  <si>
    <t>FFN</t>
  </si>
  <si>
    <t>Ligação</t>
  </si>
  <si>
    <t>Cabos bipolares e tripolares</t>
  </si>
  <si>
    <t>Cabos isolados ou unipolares</t>
  </si>
  <si>
    <t>Mais de uma camada</t>
  </si>
  <si>
    <t>FFFN - Desiquilibrado</t>
  </si>
  <si>
    <t>FFFN - Equilibrado</t>
  </si>
  <si>
    <t>Circuito nome</t>
  </si>
  <si>
    <t>Usabilidade</t>
  </si>
  <si>
    <t>BTU</t>
  </si>
  <si>
    <t>N° Referência</t>
  </si>
  <si>
    <t>Comum</t>
  </si>
  <si>
    <t>geral</t>
  </si>
  <si>
    <t>Torneira elet</t>
  </si>
  <si>
    <t>tomada1</t>
  </si>
  <si>
    <t>tomada2</t>
  </si>
  <si>
    <t>tomada3</t>
  </si>
  <si>
    <t>tomada4</t>
  </si>
  <si>
    <t>tomada5</t>
  </si>
  <si>
    <t>tomada6</t>
  </si>
  <si>
    <t>Resist térmica solo (K.m/W)</t>
  </si>
  <si>
    <t>Sala</t>
  </si>
  <si>
    <t>Luminária</t>
  </si>
  <si>
    <t>Dorm. 1</t>
  </si>
  <si>
    <t>Dorm. 2</t>
  </si>
  <si>
    <t>Banheiro</t>
  </si>
  <si>
    <t>Hall</t>
  </si>
  <si>
    <t>Copa</t>
  </si>
  <si>
    <t>Cozinha</t>
  </si>
  <si>
    <t>A. serviço</t>
  </si>
  <si>
    <t>A. externa</t>
  </si>
  <si>
    <t>Tomada geral</t>
  </si>
  <si>
    <t>Chuveiro</t>
  </si>
  <si>
    <t>Tomada específica</t>
  </si>
  <si>
    <t>Torneira</t>
  </si>
  <si>
    <t>Casa</t>
  </si>
  <si>
    <t>Lampadas incadescentes</t>
  </si>
  <si>
    <t>Lampadas florescente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</si>
</sst>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9"/>
      <color indexed="8"/>
      <name val="Arial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9"/>
      <color indexed="8"/>
      <name val="Cambria"/>
      <family val="1"/>
      <scheme val="major"/>
    </font>
    <font>
      <sz val="9"/>
      <color theme="1"/>
      <name val="Cambria"/>
      <family val="1"/>
      <scheme val="major"/>
    </font>
    <font>
      <sz val="9"/>
      <color rgb="FF000000"/>
      <name val="Calibri"/>
      <family val="2"/>
    </font>
    <font>
      <b/>
      <sz val="9"/>
      <color theme="1"/>
      <name val="Times New Roman"/>
      <family val="1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49" fontId="0" fillId="0" borderId="0" xfId="0" applyNumberFormat="1"/>
    <xf numFmtId="49" fontId="0" fillId="0" borderId="1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3" borderId="0" xfId="0" applyNumberFormat="1" applyFill="1"/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 wrapText="1"/>
    </xf>
    <xf numFmtId="0" fontId="8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4" xfId="0" applyFill="1" applyBorder="1" applyAlignment="1">
      <alignment horizontal="center" vertical="center" wrapText="1"/>
    </xf>
    <xf numFmtId="0" fontId="0" fillId="0" borderId="15" xfId="0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3" borderId="0" xfId="0" applyFill="1"/>
    <xf numFmtId="0" fontId="9" fillId="0" borderId="7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4" fillId="3" borderId="0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/>
    <xf numFmtId="0" fontId="0" fillId="0" borderId="0" xfId="0" applyFont="1" applyBorder="1"/>
    <xf numFmtId="0" fontId="11" fillId="0" borderId="1" xfId="0" applyFont="1" applyFill="1" applyBorder="1" applyAlignment="1">
      <alignment horizontal="left" vertical="center" indent="1"/>
    </xf>
    <xf numFmtId="0" fontId="12" fillId="0" borderId="0" xfId="0" applyFont="1" applyBorder="1" applyAlignment="1">
      <alignment horizontal="center" vertical="center" wrapText="1"/>
    </xf>
    <xf numFmtId="2" fontId="6" fillId="0" borderId="0" xfId="0" applyNumberFormat="1" applyFont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 wrapText="1"/>
    </xf>
    <xf numFmtId="0" fontId="3" fillId="4" borderId="1" xfId="0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 wrapText="1"/>
    </xf>
    <xf numFmtId="0" fontId="3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3" fillId="4" borderId="1" xfId="0" applyNumberFormat="1" applyFont="1" applyFill="1" applyBorder="1" applyAlignment="1" applyProtection="1">
      <alignment horizontal="center" vertical="center"/>
    </xf>
    <xf numFmtId="0" fontId="10" fillId="6" borderId="1" xfId="0" applyNumberFormat="1" applyFont="1" applyFill="1" applyBorder="1" applyAlignment="1" applyProtection="1">
      <alignment horizontal="center" vertical="center"/>
    </xf>
    <xf numFmtId="0" fontId="10" fillId="6" borderId="1" xfId="0" applyNumberFormat="1" applyFont="1" applyFill="1" applyBorder="1" applyAlignment="1" applyProtection="1">
      <alignment horizontal="center" vertical="center" wrapText="1"/>
    </xf>
    <xf numFmtId="0" fontId="4" fillId="6" borderId="1" xfId="0" applyNumberFormat="1" applyFont="1" applyFill="1" applyBorder="1" applyAlignment="1" applyProtection="1">
      <alignment horizontal="center" vertical="center" wrapText="1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</xf>
    <xf numFmtId="0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2" fillId="2" borderId="1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2" fontId="2" fillId="2" borderId="1" xfId="0" applyNumberFormat="1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" fontId="2" fillId="2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3" fillId="4" borderId="1" xfId="0" applyNumberFormat="1" applyFont="1" applyFill="1" applyBorder="1" applyAlignment="1" applyProtection="1">
      <alignment horizontal="center" vertical="top" wrapText="1"/>
      <protection locked="0"/>
    </xf>
    <xf numFmtId="164" fontId="5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3F3F3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161926</xdr:colOff>
      <xdr:row>3</xdr:row>
      <xdr:rowOff>140495</xdr:rowOff>
    </xdr:from>
    <xdr:to>
      <xdr:col>12</xdr:col>
      <xdr:colOff>371476</xdr:colOff>
      <xdr:row>10</xdr:row>
      <xdr:rowOff>52389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6" y="721520"/>
          <a:ext cx="6305550" cy="12834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2380</xdr:colOff>
      <xdr:row>9</xdr:row>
      <xdr:rowOff>135731</xdr:rowOff>
    </xdr:from>
    <xdr:to>
      <xdr:col>14</xdr:col>
      <xdr:colOff>11905</xdr:colOff>
      <xdr:row>12</xdr:row>
      <xdr:rowOff>16669</xdr:rowOff>
    </xdr:to>
    <xdr:pic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980" y="1897856"/>
          <a:ext cx="7324725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2382</xdr:colOff>
      <xdr:row>9</xdr:row>
      <xdr:rowOff>145257</xdr:rowOff>
    </xdr:from>
    <xdr:to>
      <xdr:col>26</xdr:col>
      <xdr:colOff>11907</xdr:colOff>
      <xdr:row>12</xdr:row>
      <xdr:rowOff>21432</xdr:rowOff>
    </xdr:to>
    <xdr:pic>
      <xdr:nvPicPr>
        <xdr:cNvPr id="4" name="Imagem 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7182" y="1907382"/>
          <a:ext cx="7324725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209551</xdr:colOff>
      <xdr:row>4</xdr:row>
      <xdr:rowOff>21432</xdr:rowOff>
    </xdr:from>
    <xdr:to>
      <xdr:col>23</xdr:col>
      <xdr:colOff>419101</xdr:colOff>
      <xdr:row>9</xdr:row>
      <xdr:rowOff>59532</xdr:rowOff>
    </xdr:to>
    <xdr:pic>
      <xdr:nvPicPr>
        <xdr:cNvPr id="5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1" y="802482"/>
          <a:ext cx="6305550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21431</xdr:colOff>
      <xdr:row>0</xdr:row>
      <xdr:rowOff>19050</xdr:rowOff>
    </xdr:from>
    <xdr:to>
      <xdr:col>33</xdr:col>
      <xdr:colOff>7143</xdr:colOff>
      <xdr:row>12</xdr:row>
      <xdr:rowOff>14289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61431" y="19050"/>
          <a:ext cx="4224337" cy="23288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4762</xdr:colOff>
      <xdr:row>0</xdr:row>
      <xdr:rowOff>19050</xdr:rowOff>
    </xdr:from>
    <xdr:to>
      <xdr:col>40</xdr:col>
      <xdr:colOff>11906</xdr:colOff>
      <xdr:row>12</xdr:row>
      <xdr:rowOff>19051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3387" y="19050"/>
          <a:ext cx="4722019" cy="2333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142875</xdr:colOff>
      <xdr:row>1</xdr:row>
      <xdr:rowOff>104775</xdr:rowOff>
    </xdr:from>
    <xdr:ext cx="920445" cy="280205"/>
    <xdr:sp macro="" textlink="">
      <xdr:nvSpPr>
        <xdr:cNvPr id="2" name="CaixaDeTexto 1"/>
        <xdr:cNvSpPr txBox="1"/>
      </xdr:nvSpPr>
      <xdr:spPr>
        <a:xfrm>
          <a:off x="466725" y="295275"/>
          <a:ext cx="9204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Tabela</a:t>
          </a:r>
          <a:r>
            <a:rPr lang="pt-BR" sz="1200" b="1" baseline="0"/>
            <a:t> 3.15</a:t>
          </a:r>
          <a:endParaRPr lang="pt-BR" sz="1200" b="1"/>
        </a:p>
      </xdr:txBody>
    </xdr:sp>
    <xdr:clientData/>
  </xdr:oneCellAnchor>
  <xdr:oneCellAnchor>
    <xdr:from>
      <xdr:col>28</xdr:col>
      <xdr:colOff>133350</xdr:colOff>
      <xdr:row>1</xdr:row>
      <xdr:rowOff>76200</xdr:rowOff>
    </xdr:from>
    <xdr:ext cx="920445" cy="280205"/>
    <xdr:sp macro="" textlink="">
      <xdr:nvSpPr>
        <xdr:cNvPr id="3" name="CaixaDeTexto 2"/>
        <xdr:cNvSpPr txBox="1"/>
      </xdr:nvSpPr>
      <xdr:spPr>
        <a:xfrm>
          <a:off x="12515850" y="266700"/>
          <a:ext cx="92044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Tabela</a:t>
          </a:r>
          <a:r>
            <a:rPr lang="pt-BR" sz="1200" b="1" baseline="0"/>
            <a:t> 3.16</a:t>
          </a:r>
          <a:endParaRPr lang="pt-BR" sz="1200" b="1"/>
        </a:p>
      </xdr:txBody>
    </xdr:sp>
    <xdr:clientData/>
  </xdr:oneCellAnchor>
  <xdr:oneCellAnchor>
    <xdr:from>
      <xdr:col>44</xdr:col>
      <xdr:colOff>19050</xdr:colOff>
      <xdr:row>1</xdr:row>
      <xdr:rowOff>66675</xdr:rowOff>
    </xdr:from>
    <xdr:ext cx="920445" cy="468077"/>
    <xdr:sp macro="" textlink="">
      <xdr:nvSpPr>
        <xdr:cNvPr id="4" name="CaixaDeTexto 3"/>
        <xdr:cNvSpPr txBox="1"/>
      </xdr:nvSpPr>
      <xdr:spPr>
        <a:xfrm>
          <a:off x="21821775" y="257175"/>
          <a:ext cx="920445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Tabela</a:t>
          </a:r>
          <a:r>
            <a:rPr lang="pt-BR" sz="1200" b="1" baseline="0"/>
            <a:t> 3.17</a:t>
          </a:r>
        </a:p>
        <a:p>
          <a:endParaRPr lang="pt-BR" sz="1200" b="1"/>
        </a:p>
      </xdr:txBody>
    </xdr:sp>
    <xdr:clientData/>
  </xdr:oneCellAnchor>
  <xdr:oneCellAnchor>
    <xdr:from>
      <xdr:col>51</xdr:col>
      <xdr:colOff>19050</xdr:colOff>
      <xdr:row>1</xdr:row>
      <xdr:rowOff>47625</xdr:rowOff>
    </xdr:from>
    <xdr:ext cx="920445" cy="238125"/>
    <xdr:sp macro="" textlink="">
      <xdr:nvSpPr>
        <xdr:cNvPr id="5" name="CaixaDeTexto 4"/>
        <xdr:cNvSpPr txBox="1"/>
      </xdr:nvSpPr>
      <xdr:spPr>
        <a:xfrm>
          <a:off x="25812750" y="238125"/>
          <a:ext cx="920445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200" b="1"/>
            <a:t>Tabela</a:t>
          </a:r>
          <a:r>
            <a:rPr lang="pt-BR" sz="1200" b="1" baseline="0"/>
            <a:t> 3.18</a:t>
          </a:r>
        </a:p>
        <a:p>
          <a:endParaRPr lang="pt-BR" sz="1200" b="1"/>
        </a:p>
      </xdr:txBody>
    </xdr:sp>
    <xdr:clientData/>
  </xdr:oneCellAnchor>
  <xdr:oneCellAnchor>
    <xdr:from>
      <xdr:col>56</xdr:col>
      <xdr:colOff>266700</xdr:colOff>
      <xdr:row>1</xdr:row>
      <xdr:rowOff>66675</xdr:rowOff>
    </xdr:from>
    <xdr:ext cx="920445" cy="238125"/>
    <xdr:sp macro="" textlink="">
      <xdr:nvSpPr>
        <xdr:cNvPr id="6" name="CaixaDeTexto 5"/>
        <xdr:cNvSpPr txBox="1"/>
      </xdr:nvSpPr>
      <xdr:spPr>
        <a:xfrm>
          <a:off x="29108400" y="257175"/>
          <a:ext cx="920445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200" b="1"/>
            <a:t>Tabela</a:t>
          </a:r>
          <a:r>
            <a:rPr lang="pt-BR" sz="1200" b="1" baseline="0"/>
            <a:t> 3.19</a:t>
          </a:r>
        </a:p>
        <a:p>
          <a:endParaRPr lang="pt-BR" sz="1200" b="1"/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:AL3"/>
  <sheetViews>
    <sheetView workbookViewId="0">
      <selection activeCell="C8" sqref="C8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11.85546875" customWidth="1"/>
    <col min="18" max="18" width="12.5703125" customWidth="1"/>
    <col min="22" max="22" width="11.42578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QGFpag16</v>
      </c>
      <c r="B2" s="93" t="s">
        <v>192</v>
      </c>
      <c r="C2" s="93">
        <v>60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0.95</v>
      </c>
      <c r="L2" s="95">
        <v>0</v>
      </c>
      <c r="M2" s="95">
        <v>0</v>
      </c>
      <c r="N2" s="95">
        <v>3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Listas!$H$2:$H$3</xm:f>
          </x14:formula1>
          <xm:sqref>F2</xm:sqref>
        </x14:dataValidation>
        <x14:dataValidation type="list" allowBlank="1" showInputMessage="1" showErrorMessage="1">
          <x14:formula1>
            <xm:f>Listas!$I$2:$I$3</xm:f>
          </x14:formula1>
          <xm:sqref>G2</xm:sqref>
        </x14:dataValidation>
        <x14:dataValidation type="list" allowBlank="1" showInputMessage="1" showErrorMessage="1">
          <x14:formula1>
            <xm:f>Listas!$J$2:$J$3</xm:f>
          </x14:formula1>
          <xm:sqref>I2 Q2 T2</xm:sqref>
        </x14:dataValidation>
        <x14:dataValidation type="list" allowBlank="1" showInputMessage="1" showErrorMessage="1">
          <x14:formula1>
            <xm:f>Listas!$F$2:$F$60</xm:f>
          </x14:formula1>
          <xm:sqref>E2</xm:sqref>
        </x14:dataValidation>
        <x14:dataValidation type="list" allowBlank="1" showInputMessage="1" showErrorMessage="1">
          <x14:formula1>
            <xm:f>Listas!$M$2:$M$4</xm:f>
          </x14:formula1>
          <xm:sqref>R2</xm:sqref>
        </x14:dataValidation>
        <x14:dataValidation type="list" allowBlank="1" showInputMessage="1" showErrorMessage="1">
          <x14:formula1>
            <xm:f>Listas!$N$2:$N$7</xm:f>
          </x14:formula1>
          <xm:sqref>S2</xm:sqref>
        </x14:dataValidation>
        <x14:dataValidation type="list" allowBlank="1" showInputMessage="1" showErrorMessage="1">
          <x14:formula1>
            <xm:f>Listas!$L$2:$L$9</xm:f>
          </x14:formula1>
          <xm:sqref>O2</xm:sqref>
        </x14:dataValidation>
        <x14:dataValidation type="list" allowBlank="1" showInputMessage="1" showErrorMessage="1">
          <x14:formula1>
            <xm:f>Listas!$D$2:$D$4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:AL5"/>
  <sheetViews>
    <sheetView workbookViewId="0">
      <selection activeCell="C4" sqref="C4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11.85546875" customWidth="1"/>
    <col min="18" max="18" width="12.5703125" customWidth="1"/>
    <col min="22" max="22" width="11.42578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QDLpag16</v>
      </c>
      <c r="B2" s="93" t="s">
        <v>192</v>
      </c>
      <c r="C2" s="93">
        <v>60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0.95</v>
      </c>
      <c r="L2" s="95">
        <v>0</v>
      </c>
      <c r="M2" s="95">
        <v>0</v>
      </c>
      <c r="N2" s="95">
        <v>3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38</v>
      </c>
      <c r="C4" s="100" t="s">
        <v>194</v>
      </c>
      <c r="D4" s="100" t="s">
        <v>224</v>
      </c>
      <c r="E4" s="101">
        <v>30</v>
      </c>
      <c r="F4" s="102">
        <v>30</v>
      </c>
      <c r="G4" s="103">
        <v>4</v>
      </c>
      <c r="H4" s="108" t="s">
        <v>249</v>
      </c>
      <c r="I4" s="103">
        <v>150</v>
      </c>
      <c r="J4" s="104">
        <v>40</v>
      </c>
      <c r="K4" s="104" t="s">
        <v>107</v>
      </c>
      <c r="L4" s="104" t="s">
        <v>210</v>
      </c>
      <c r="M4" s="104">
        <v>15.3</v>
      </c>
      <c r="N4" s="105">
        <v>0.4</v>
      </c>
      <c r="O4" s="104">
        <f t="shared" ref="O4:O5" si="0">(J4*IF(K4="CV",735.499,IF(K4="HP",745.699872,IF(K4="BTU",0.29307107,J4))))/(IF(OR(L4="FN",  L4="FF",L4="FFN"),1,SQRT(3))*IF(P4=0,1,P4)*1000)</f>
        <v>0.9237604307034013</v>
      </c>
      <c r="P4" s="106"/>
      <c r="Q4" s="107"/>
      <c r="R4" s="107"/>
      <c r="S4" s="108"/>
      <c r="T4" s="75"/>
      <c r="U4" s="109">
        <v>2</v>
      </c>
      <c r="V4" s="109" t="s">
        <v>8</v>
      </c>
      <c r="W4" s="110" t="s">
        <v>27</v>
      </c>
      <c r="X4" s="100" t="s">
        <v>154</v>
      </c>
      <c r="Y4" s="111">
        <v>1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  <row r="5" spans="1:38" ht="21.75" customHeight="1" x14ac:dyDescent="0.25">
      <c r="A5" s="75">
        <v>2</v>
      </c>
      <c r="B5" s="75" t="s">
        <v>38</v>
      </c>
      <c r="C5" s="100" t="s">
        <v>39</v>
      </c>
      <c r="D5" s="100" t="s">
        <v>224</v>
      </c>
      <c r="E5" s="101">
        <v>30</v>
      </c>
      <c r="F5" s="102">
        <v>30</v>
      </c>
      <c r="G5" s="103">
        <v>4</v>
      </c>
      <c r="H5" s="108" t="s">
        <v>248</v>
      </c>
      <c r="I5" s="103">
        <v>52</v>
      </c>
      <c r="J5" s="104">
        <v>100</v>
      </c>
      <c r="K5" s="104" t="s">
        <v>107</v>
      </c>
      <c r="L5" s="104" t="s">
        <v>210</v>
      </c>
      <c r="M5" s="104"/>
      <c r="N5" s="105">
        <v>1</v>
      </c>
      <c r="O5" s="104">
        <f t="shared" si="0"/>
        <v>5.7735026918962582</v>
      </c>
      <c r="P5" s="106"/>
      <c r="Q5" s="107"/>
      <c r="R5" s="107"/>
      <c r="S5" s="108"/>
      <c r="T5" s="75"/>
      <c r="U5" s="109">
        <v>2</v>
      </c>
      <c r="V5" s="109" t="s">
        <v>8</v>
      </c>
      <c r="W5" s="110" t="s">
        <v>27</v>
      </c>
      <c r="X5" s="100" t="s">
        <v>154</v>
      </c>
      <c r="Y5" s="111">
        <v>1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37</v>
      </c>
      <c r="AK5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Listas!$D$2:$D$4</xm:f>
          </x14:formula1>
          <xm:sqref>D2 B4:B5</xm:sqref>
        </x14:dataValidation>
        <x14:dataValidation type="list" allowBlank="1" showInputMessage="1" showErrorMessage="1">
          <x14:formula1>
            <xm:f>Listas!$A$2:$A$7</xm:f>
          </x14:formula1>
          <xm:sqref>L4:L5</xm:sqref>
        </x14:dataValidation>
        <x14:dataValidation type="list" allowBlank="1" showInputMessage="1" showErrorMessage="1">
          <x14:formula1>
            <xm:f>Listas!$L$2:$L$9</xm:f>
          </x14:formula1>
          <xm:sqref>O2 Z4:Z5</xm:sqref>
        </x14:dataValidation>
        <x14:dataValidation type="list" allowBlank="1" showInputMessage="1" showErrorMessage="1">
          <x14:formula1>
            <xm:f>Listas!$N$2:$N$7</xm:f>
          </x14:formula1>
          <xm:sqref>S2 AD4:AD5</xm:sqref>
        </x14:dataValidation>
        <x14:dataValidation type="list" allowBlank="1" showInputMessage="1" showErrorMessage="1">
          <x14:formula1>
            <xm:f>Listas!$M$2:$M$4</xm:f>
          </x14:formula1>
          <xm:sqref>R2 AC4:AC5</xm:sqref>
        </x14:dataValidation>
        <x14:dataValidation type="list" allowBlank="1" showInputMessage="1" showErrorMessage="1">
          <x14:formula1>
            <xm:f>Listas!$F$2:$F$60</xm:f>
          </x14:formula1>
          <xm:sqref>E2 X4:X5</xm:sqref>
        </x14:dataValidation>
        <x14:dataValidation type="list" allowBlank="1" showInputMessage="1" showErrorMessage="1">
          <x14:formula1>
            <xm:f>Listas!$E$2:$E$3</xm:f>
          </x14:formula1>
          <xm:sqref>G4:G5</xm:sqref>
        </x14:dataValidation>
        <x14:dataValidation type="list" allowBlank="1" showInputMessage="1" showErrorMessage="1">
          <x14:formula1>
            <xm:f>Listas!$J$2:$J$3</xm:f>
          </x14:formula1>
          <xm:sqref>I2 AJ4:AJ5 AB4:AB5 Q2 T2 AE4:AE5</xm:sqref>
        </x14:dataValidation>
        <x14:dataValidation type="list" allowBlank="1" showInputMessage="1" showErrorMessage="1">
          <x14:formula1>
            <xm:f>Listas!$I$2:$I$3</xm:f>
          </x14:formula1>
          <xm:sqref>G2 V4:V5</xm:sqref>
        </x14:dataValidation>
        <x14:dataValidation type="list" allowBlank="1" showInputMessage="1" showErrorMessage="1">
          <x14:formula1>
            <xm:f>Listas!$H$2:$H$3</xm:f>
          </x14:formula1>
          <xm:sqref>F2 W4:W5</xm:sqref>
        </x14:dataValidation>
        <x14:dataValidation type="list" allowBlank="1" showInputMessage="1" showErrorMessage="1">
          <x14:formula1>
            <xm:f>Listas!$C$2:$C$9</xm:f>
          </x14:formula1>
          <xm:sqref>C4:C5</xm:sqref>
        </x14:dataValidation>
        <x14:dataValidation type="list" allowBlank="1" showInputMessage="1" showErrorMessage="1">
          <x14:formula1>
            <xm:f>Listas!$P$2:$P$6</xm:f>
          </x14:formula1>
          <xm:sqref>K4:K5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:AL5"/>
  <sheetViews>
    <sheetView workbookViewId="0">
      <selection activeCell="W5" sqref="W5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11.85546875" customWidth="1"/>
    <col min="18" max="18" width="12.5703125" customWidth="1"/>
    <col min="22" max="22" width="11.42578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CCM2pag16</v>
      </c>
      <c r="B2" s="93" t="s">
        <v>192</v>
      </c>
      <c r="C2" s="93">
        <v>60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0.95</v>
      </c>
      <c r="L2" s="95">
        <v>0</v>
      </c>
      <c r="M2" s="95">
        <v>0</v>
      </c>
      <c r="N2" s="95">
        <v>3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38</v>
      </c>
      <c r="C4" s="100" t="s">
        <v>51</v>
      </c>
      <c r="D4" s="100" t="s">
        <v>224</v>
      </c>
      <c r="E4" s="101">
        <v>30</v>
      </c>
      <c r="F4" s="102">
        <v>30</v>
      </c>
      <c r="G4" s="103">
        <v>4</v>
      </c>
      <c r="H4" s="108" t="s">
        <v>51</v>
      </c>
      <c r="I4" s="103">
        <v>10</v>
      </c>
      <c r="J4" s="104">
        <v>30</v>
      </c>
      <c r="K4" s="104" t="s">
        <v>179</v>
      </c>
      <c r="L4" s="104" t="s">
        <v>210</v>
      </c>
      <c r="M4" s="104"/>
      <c r="N4" s="105">
        <v>0.83</v>
      </c>
      <c r="O4" s="104">
        <f t="shared" ref="O4" si="0">(J4*IF(K4="CV",735.499,IF(K4="HP",745.699872,IF(K4="BTU",0.29307107,J4))))/(IF(OR(L4="FN",  L4="FF",L4="FFN"),1,SQRT(3))*IF(P4=0,1,P4)*1000)</f>
        <v>14.154684854623353</v>
      </c>
      <c r="P4" s="106">
        <v>0.9</v>
      </c>
      <c r="Q4" s="107"/>
      <c r="R4" s="107">
        <v>0.85</v>
      </c>
      <c r="S4" s="108"/>
      <c r="T4" s="75">
        <v>0.65</v>
      </c>
      <c r="U4" s="109">
        <v>2</v>
      </c>
      <c r="V4" s="109" t="s">
        <v>8</v>
      </c>
      <c r="W4" s="110" t="s">
        <v>53</v>
      </c>
      <c r="X4" s="100" t="s">
        <v>154</v>
      </c>
      <c r="Y4" s="111">
        <v>1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  <row r="5" spans="1:38" ht="21.75" customHeight="1" x14ac:dyDescent="0.25">
      <c r="A5" s="75">
        <v>2</v>
      </c>
      <c r="B5" s="75" t="s">
        <v>38</v>
      </c>
      <c r="C5" s="100" t="s">
        <v>51</v>
      </c>
      <c r="D5" s="100" t="s">
        <v>224</v>
      </c>
      <c r="E5" s="101">
        <v>30</v>
      </c>
      <c r="F5" s="102">
        <v>30</v>
      </c>
      <c r="G5" s="103">
        <v>4</v>
      </c>
      <c r="H5" s="108" t="s">
        <v>51</v>
      </c>
      <c r="I5" s="103">
        <v>5</v>
      </c>
      <c r="J5" s="104">
        <v>50</v>
      </c>
      <c r="K5" s="104" t="s">
        <v>179</v>
      </c>
      <c r="L5" s="104" t="s">
        <v>210</v>
      </c>
      <c r="M5" s="104"/>
      <c r="N5" s="105">
        <v>0.86</v>
      </c>
      <c r="O5" s="104">
        <f t="shared" ref="O5" si="1">(J5*IF(K5="CV",735.499,IF(K5="HP",745.699872,IF(K5="BTU",0.29307107,J5))))/(IF(OR(L5="FN",  L5="FF",L5="FFN"),1,SQRT(3))*IF(P5=0,1,P5)*1000)</f>
        <v>23.078290523842426</v>
      </c>
      <c r="P5" s="106">
        <v>0.92</v>
      </c>
      <c r="Q5" s="107"/>
      <c r="R5" s="107">
        <v>0.87</v>
      </c>
      <c r="S5" s="108"/>
      <c r="T5" s="75">
        <v>0.7</v>
      </c>
      <c r="U5" s="109">
        <v>2</v>
      </c>
      <c r="V5" s="109" t="s">
        <v>8</v>
      </c>
      <c r="W5" s="110" t="s">
        <v>53</v>
      </c>
      <c r="X5" s="100" t="s">
        <v>154</v>
      </c>
      <c r="Y5" s="111">
        <v>1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37</v>
      </c>
      <c r="AK5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Listas!$P$2:$P$6</xm:f>
          </x14:formula1>
          <xm:sqref>K4:K5</xm:sqref>
        </x14:dataValidation>
        <x14:dataValidation type="list" allowBlank="1" showInputMessage="1" showErrorMessage="1">
          <x14:formula1>
            <xm:f>Listas!$C$2:$C$9</xm:f>
          </x14:formula1>
          <xm:sqref>C4:C5</xm:sqref>
        </x14:dataValidation>
        <x14:dataValidation type="list" allowBlank="1" showInputMessage="1" showErrorMessage="1">
          <x14:formula1>
            <xm:f>Listas!$H$2:$H$3</xm:f>
          </x14:formula1>
          <xm:sqref>F2 W4:W5</xm:sqref>
        </x14:dataValidation>
        <x14:dataValidation type="list" allowBlank="1" showInputMessage="1" showErrorMessage="1">
          <x14:formula1>
            <xm:f>Listas!$I$2:$I$3</xm:f>
          </x14:formula1>
          <xm:sqref>G2 V4:V5</xm:sqref>
        </x14:dataValidation>
        <x14:dataValidation type="list" allowBlank="1" showInputMessage="1" showErrorMessage="1">
          <x14:formula1>
            <xm:f>Listas!$J$2:$J$3</xm:f>
          </x14:formula1>
          <xm:sqref>I2 AJ4:AJ5 AB4:AB5 Q2 T2 AE4:AE5</xm:sqref>
        </x14:dataValidation>
        <x14:dataValidation type="list" allowBlank="1" showInputMessage="1" showErrorMessage="1">
          <x14:formula1>
            <xm:f>Listas!$E$2:$E$3</xm:f>
          </x14:formula1>
          <xm:sqref>G4:G5</xm:sqref>
        </x14:dataValidation>
        <x14:dataValidation type="list" allowBlank="1" showInputMessage="1" showErrorMessage="1">
          <x14:formula1>
            <xm:f>Listas!$F$2:$F$60</xm:f>
          </x14:formula1>
          <xm:sqref>E2 X4:X5</xm:sqref>
        </x14:dataValidation>
        <x14:dataValidation type="list" allowBlank="1" showInputMessage="1" showErrorMessage="1">
          <x14:formula1>
            <xm:f>Listas!$M$2:$M$4</xm:f>
          </x14:formula1>
          <xm:sqref>R2 AC4:AC5</xm:sqref>
        </x14:dataValidation>
        <x14:dataValidation type="list" allowBlank="1" showInputMessage="1" showErrorMessage="1">
          <x14:formula1>
            <xm:f>Listas!$N$2:$N$7</xm:f>
          </x14:formula1>
          <xm:sqref>S2 AD4:AD5</xm:sqref>
        </x14:dataValidation>
        <x14:dataValidation type="list" allowBlank="1" showInputMessage="1" showErrorMessage="1">
          <x14:formula1>
            <xm:f>Listas!$L$2:$L$9</xm:f>
          </x14:formula1>
          <xm:sqref>O2 Z4:Z5</xm:sqref>
        </x14:dataValidation>
        <x14:dataValidation type="list" allowBlank="1" showInputMessage="1" showErrorMessage="1">
          <x14:formula1>
            <xm:f>Listas!$A$2:$A$7</xm:f>
          </x14:formula1>
          <xm:sqref>L4:L5</xm:sqref>
        </x14:dataValidation>
        <x14:dataValidation type="list" allowBlank="1" showInputMessage="1" showErrorMessage="1">
          <x14:formula1>
            <xm:f>Listas!$D$2:$D$4</xm:f>
          </x14:formula1>
          <xm:sqref>D2 B4:B5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:AL4"/>
  <sheetViews>
    <sheetView workbookViewId="0">
      <selection activeCell="J9" sqref="J9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11.85546875" customWidth="1"/>
    <col min="18" max="18" width="12.5703125" customWidth="1"/>
    <col min="22" max="22" width="11.42578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CCM1pag16</v>
      </c>
      <c r="B2" s="93" t="s">
        <v>192</v>
      </c>
      <c r="C2" s="93">
        <v>60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0.95</v>
      </c>
      <c r="L2" s="95">
        <v>0</v>
      </c>
      <c r="M2" s="95">
        <v>0</v>
      </c>
      <c r="N2" s="95">
        <v>3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38</v>
      </c>
      <c r="C4" s="100" t="s">
        <v>51</v>
      </c>
      <c r="D4" s="100" t="s">
        <v>224</v>
      </c>
      <c r="E4" s="101">
        <v>30</v>
      </c>
      <c r="F4" s="102">
        <v>30</v>
      </c>
      <c r="G4" s="103">
        <v>4</v>
      </c>
      <c r="H4" s="108" t="s">
        <v>51</v>
      </c>
      <c r="I4" s="103">
        <v>10</v>
      </c>
      <c r="J4" s="104">
        <v>75</v>
      </c>
      <c r="K4" s="104" t="s">
        <v>179</v>
      </c>
      <c r="L4" s="104" t="s">
        <v>210</v>
      </c>
      <c r="M4" s="104"/>
      <c r="N4" s="105">
        <v>0.86</v>
      </c>
      <c r="O4" s="104">
        <f t="shared" ref="O4" si="0">(J4*IF(K4="CV",735.499,IF(K4="HP",745.699872,IF(K4="BTU",0.29307107,J4))))/(IF(OR(L4="FN",  L4="FF",L4="FFN"),1,SQRT(3))*IF(P4=0,1,P4)*1000)</f>
        <v>34.617435785763632</v>
      </c>
      <c r="P4" s="106">
        <v>0.92</v>
      </c>
      <c r="Q4" s="107"/>
      <c r="R4" s="107">
        <v>0.87</v>
      </c>
      <c r="S4" s="108"/>
      <c r="T4" s="75">
        <v>0.65</v>
      </c>
      <c r="U4" s="109">
        <v>2</v>
      </c>
      <c r="V4" s="109" t="s">
        <v>8</v>
      </c>
      <c r="W4" s="110" t="s">
        <v>53</v>
      </c>
      <c r="X4" s="100" t="s">
        <v>154</v>
      </c>
      <c r="Y4" s="111">
        <v>1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Listas!$D$2:$D$4</xm:f>
          </x14:formula1>
          <xm:sqref>D2 B4</xm:sqref>
        </x14:dataValidation>
        <x14:dataValidation type="list" allowBlank="1" showInputMessage="1" showErrorMessage="1">
          <x14:formula1>
            <xm:f>Listas!$A$2:$A$7</xm:f>
          </x14:formula1>
          <xm:sqref>L4</xm:sqref>
        </x14:dataValidation>
        <x14:dataValidation type="list" allowBlank="1" showInputMessage="1" showErrorMessage="1">
          <x14:formula1>
            <xm:f>Listas!$L$2:$L$9</xm:f>
          </x14:formula1>
          <xm:sqref>O2 Z4</xm:sqref>
        </x14:dataValidation>
        <x14:dataValidation type="list" allowBlank="1" showInputMessage="1" showErrorMessage="1">
          <x14:formula1>
            <xm:f>Listas!$N$2:$N$7</xm:f>
          </x14:formula1>
          <xm:sqref>S2 AD4</xm:sqref>
        </x14:dataValidation>
        <x14:dataValidation type="list" allowBlank="1" showInputMessage="1" showErrorMessage="1">
          <x14:formula1>
            <xm:f>Listas!$M$2:$M$4</xm:f>
          </x14:formula1>
          <xm:sqref>R2 AC4</xm:sqref>
        </x14:dataValidation>
        <x14:dataValidation type="list" allowBlank="1" showInputMessage="1" showErrorMessage="1">
          <x14:formula1>
            <xm:f>Listas!$F$2:$F$60</xm:f>
          </x14:formula1>
          <xm:sqref>E2 X4</xm:sqref>
        </x14:dataValidation>
        <x14:dataValidation type="list" allowBlank="1" showInputMessage="1" showErrorMessage="1">
          <x14:formula1>
            <xm:f>Listas!$E$2:$E$3</xm:f>
          </x14:formula1>
          <xm:sqref>G4</xm:sqref>
        </x14:dataValidation>
        <x14:dataValidation type="list" allowBlank="1" showInputMessage="1" showErrorMessage="1">
          <x14:formula1>
            <xm:f>Listas!$J$2:$J$3</xm:f>
          </x14:formula1>
          <xm:sqref>I2 AJ4 AB4 Q2 T2 AE4</xm:sqref>
        </x14:dataValidation>
        <x14:dataValidation type="list" allowBlank="1" showInputMessage="1" showErrorMessage="1">
          <x14:formula1>
            <xm:f>Listas!$I$2:$I$3</xm:f>
          </x14:formula1>
          <xm:sqref>G2 V4</xm:sqref>
        </x14:dataValidation>
        <x14:dataValidation type="list" allowBlank="1" showInputMessage="1" showErrorMessage="1">
          <x14:formula1>
            <xm:f>Listas!$H$2:$H$3</xm:f>
          </x14:formula1>
          <xm:sqref>F2 W4</xm:sqref>
        </x14:dataValidation>
        <x14:dataValidation type="list" allowBlank="1" showInputMessage="1" showErrorMessage="1">
          <x14:formula1>
            <xm:f>Listas!$C$2:$C$9</xm:f>
          </x14:formula1>
          <xm:sqref>C4</xm:sqref>
        </x14:dataValidation>
        <x14:dataValidation type="list" allowBlank="1" showInputMessage="1" showErrorMessage="1">
          <x14:formula1>
            <xm:f>Listas!$P$2:$P$6</xm:f>
          </x14:formula1>
          <xm:sqref>K4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:AL28"/>
  <sheetViews>
    <sheetView topLeftCell="A4" workbookViewId="0">
      <selection activeCell="Q4" sqref="Q4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9.5703125" customWidth="1"/>
    <col min="18" max="18" width="12.5703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ExApostila</v>
      </c>
      <c r="B2" s="93" t="s">
        <v>247</v>
      </c>
      <c r="C2" s="93">
        <v>8</v>
      </c>
      <c r="D2" s="93" t="s">
        <v>42</v>
      </c>
      <c r="E2" s="94" t="s">
        <v>154</v>
      </c>
      <c r="F2" s="94" t="s">
        <v>27</v>
      </c>
      <c r="G2" s="95" t="s">
        <v>8</v>
      </c>
      <c r="H2" s="95">
        <v>1</v>
      </c>
      <c r="I2" s="94" t="s">
        <v>37</v>
      </c>
      <c r="J2" s="96">
        <v>30</v>
      </c>
      <c r="K2" s="95">
        <v>0.8</v>
      </c>
      <c r="L2" s="95">
        <v>0</v>
      </c>
      <c r="M2" s="95">
        <v>0</v>
      </c>
      <c r="N2" s="95">
        <v>1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36</v>
      </c>
      <c r="C4" s="100" t="s">
        <v>39</v>
      </c>
      <c r="D4" s="100" t="s">
        <v>233</v>
      </c>
      <c r="E4" s="101">
        <v>30</v>
      </c>
      <c r="F4" s="102"/>
      <c r="G4" s="103">
        <v>2</v>
      </c>
      <c r="H4" s="108" t="s">
        <v>234</v>
      </c>
      <c r="I4" s="103">
        <v>1</v>
      </c>
      <c r="J4" s="104">
        <v>100</v>
      </c>
      <c r="K4" s="104" t="s">
        <v>180</v>
      </c>
      <c r="L4" s="104" t="s">
        <v>211</v>
      </c>
      <c r="M4" s="104"/>
      <c r="N4" s="105">
        <v>1</v>
      </c>
      <c r="O4" s="104">
        <f t="shared" ref="O4" si="0">(J4*IF(K4="CV",735.499,IF(K4="HP",745.699872,IF(K4="BTU",0.29307107,J4))))/(IF(OR(L4="FN",  L4="FF",L4="FFN"),1,SQRT(3))*IF(P4=0,1,P4)*1000)</f>
        <v>10</v>
      </c>
      <c r="P4" s="106"/>
      <c r="Q4" s="105">
        <v>0.4</v>
      </c>
      <c r="R4" s="107"/>
      <c r="S4" s="108"/>
      <c r="T4" s="75"/>
      <c r="U4" s="109">
        <v>1</v>
      </c>
      <c r="V4" s="109" t="s">
        <v>8</v>
      </c>
      <c r="W4" s="110" t="s">
        <v>27</v>
      </c>
      <c r="X4" s="100">
        <v>7</v>
      </c>
      <c r="Y4" s="111">
        <v>3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54</v>
      </c>
      <c r="AK4" s="111">
        <v>0</v>
      </c>
    </row>
    <row r="5" spans="1:38" ht="21.75" customHeight="1" x14ac:dyDescent="0.25">
      <c r="A5" s="75">
        <v>1</v>
      </c>
      <c r="B5" s="75" t="s">
        <v>36</v>
      </c>
      <c r="C5" s="100" t="s">
        <v>39</v>
      </c>
      <c r="D5" s="100" t="s">
        <v>235</v>
      </c>
      <c r="E5" s="101">
        <v>30</v>
      </c>
      <c r="F5" s="102"/>
      <c r="G5" s="103">
        <v>2</v>
      </c>
      <c r="H5" s="108" t="s">
        <v>234</v>
      </c>
      <c r="I5" s="103">
        <v>1</v>
      </c>
      <c r="J5" s="104">
        <v>160</v>
      </c>
      <c r="K5" s="104" t="s">
        <v>180</v>
      </c>
      <c r="L5" s="104" t="s">
        <v>211</v>
      </c>
      <c r="M5" s="104"/>
      <c r="N5" s="105">
        <v>1</v>
      </c>
      <c r="O5" s="104">
        <f t="shared" ref="O5" si="1">(J5*IF(K5="CV",735.499,IF(K5="HP",745.699872,IF(K5="BTU",0.29307107,J5))))/(IF(OR(L5="FN",  L5="FF",L5="FFN"),1,SQRT(3))*IF(P5=0,1,P5)*1000)</f>
        <v>25.6</v>
      </c>
      <c r="P5" s="106"/>
      <c r="Q5" s="105">
        <v>0.4</v>
      </c>
      <c r="R5" s="107"/>
      <c r="S5" s="108"/>
      <c r="T5" s="75"/>
      <c r="U5" s="109">
        <v>1</v>
      </c>
      <c r="V5" s="109" t="s">
        <v>8</v>
      </c>
      <c r="W5" s="110" t="s">
        <v>27</v>
      </c>
      <c r="X5" s="100">
        <v>7</v>
      </c>
      <c r="Y5" s="111">
        <v>3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54</v>
      </c>
      <c r="AK5" s="111">
        <v>0</v>
      </c>
    </row>
    <row r="6" spans="1:38" ht="21.75" customHeight="1" x14ac:dyDescent="0.25">
      <c r="A6" s="75">
        <v>1</v>
      </c>
      <c r="B6" s="75" t="s">
        <v>36</v>
      </c>
      <c r="C6" s="100" t="s">
        <v>39</v>
      </c>
      <c r="D6" s="100" t="s">
        <v>236</v>
      </c>
      <c r="E6" s="101">
        <v>30</v>
      </c>
      <c r="F6" s="102"/>
      <c r="G6" s="103">
        <v>2</v>
      </c>
      <c r="H6" s="108" t="s">
        <v>234</v>
      </c>
      <c r="I6" s="103">
        <v>1</v>
      </c>
      <c r="J6" s="104">
        <v>160</v>
      </c>
      <c r="K6" s="104" t="s">
        <v>180</v>
      </c>
      <c r="L6" s="104" t="s">
        <v>211</v>
      </c>
      <c r="M6" s="104"/>
      <c r="N6" s="105">
        <v>1</v>
      </c>
      <c r="O6" s="104">
        <f t="shared" ref="O6" si="2">(J6*IF(K6="CV",735.499,IF(K6="HP",745.699872,IF(K6="BTU",0.29307107,J6))))/(IF(OR(L6="FN",  L6="FF",L6="FFN"),1,SQRT(3))*IF(P6=0,1,P6)*1000)</f>
        <v>25.6</v>
      </c>
      <c r="P6" s="106"/>
      <c r="Q6" s="105">
        <v>0.4</v>
      </c>
      <c r="R6" s="107"/>
      <c r="S6" s="108"/>
      <c r="T6" s="75"/>
      <c r="U6" s="109">
        <v>1</v>
      </c>
      <c r="V6" s="109" t="s">
        <v>8</v>
      </c>
      <c r="W6" s="110" t="s">
        <v>27</v>
      </c>
      <c r="X6" s="100">
        <v>7</v>
      </c>
      <c r="Y6" s="111">
        <v>3</v>
      </c>
      <c r="Z6" s="111" t="s">
        <v>168</v>
      </c>
      <c r="AA6" s="111">
        <v>1</v>
      </c>
      <c r="AB6" s="111" t="s">
        <v>37</v>
      </c>
      <c r="AC6" s="111" t="s">
        <v>37</v>
      </c>
      <c r="AD6" s="111" t="s">
        <v>113</v>
      </c>
      <c r="AE6" s="111" t="s">
        <v>54</v>
      </c>
      <c r="AF6" s="114">
        <v>0</v>
      </c>
      <c r="AG6" s="111">
        <v>0</v>
      </c>
      <c r="AH6" s="111">
        <v>0</v>
      </c>
      <c r="AI6" s="111">
        <v>0</v>
      </c>
      <c r="AJ6" s="111" t="s">
        <v>54</v>
      </c>
      <c r="AK6" s="111">
        <v>0</v>
      </c>
    </row>
    <row r="7" spans="1:38" ht="21.75" customHeight="1" x14ac:dyDescent="0.25">
      <c r="A7" s="75">
        <v>1</v>
      </c>
      <c r="B7" s="75" t="s">
        <v>36</v>
      </c>
      <c r="C7" s="100" t="s">
        <v>39</v>
      </c>
      <c r="D7" s="100" t="s">
        <v>237</v>
      </c>
      <c r="E7" s="101">
        <v>30</v>
      </c>
      <c r="F7" s="102"/>
      <c r="G7" s="103">
        <v>2</v>
      </c>
      <c r="H7" s="108" t="s">
        <v>234</v>
      </c>
      <c r="I7" s="103">
        <v>1</v>
      </c>
      <c r="J7" s="104">
        <v>100</v>
      </c>
      <c r="K7" s="104" t="s">
        <v>180</v>
      </c>
      <c r="L7" s="104" t="s">
        <v>211</v>
      </c>
      <c r="M7" s="104"/>
      <c r="N7" s="105">
        <v>1</v>
      </c>
      <c r="O7" s="104">
        <f t="shared" ref="O7" si="3">(J7*IF(K7="CV",735.499,IF(K7="HP",745.699872,IF(K7="BTU",0.29307107,J7))))/(IF(OR(L7="FN",  L7="FF",L7="FFN"),1,SQRT(3))*IF(P7=0,1,P7)*1000)</f>
        <v>10</v>
      </c>
      <c r="P7" s="106"/>
      <c r="Q7" s="105">
        <v>0.4</v>
      </c>
      <c r="R7" s="107"/>
      <c r="S7" s="108"/>
      <c r="T7" s="75"/>
      <c r="U7" s="109">
        <v>1</v>
      </c>
      <c r="V7" s="109" t="s">
        <v>8</v>
      </c>
      <c r="W7" s="110" t="s">
        <v>27</v>
      </c>
      <c r="X7" s="100">
        <v>7</v>
      </c>
      <c r="Y7" s="111">
        <v>3</v>
      </c>
      <c r="Z7" s="111" t="s">
        <v>168</v>
      </c>
      <c r="AA7" s="111">
        <v>1</v>
      </c>
      <c r="AB7" s="111" t="s">
        <v>37</v>
      </c>
      <c r="AC7" s="111" t="s">
        <v>37</v>
      </c>
      <c r="AD7" s="111" t="s">
        <v>113</v>
      </c>
      <c r="AE7" s="111" t="s">
        <v>54</v>
      </c>
      <c r="AF7" s="114">
        <v>0</v>
      </c>
      <c r="AG7" s="111">
        <v>0</v>
      </c>
      <c r="AH7" s="111">
        <v>0</v>
      </c>
      <c r="AI7" s="111">
        <v>0</v>
      </c>
      <c r="AJ7" s="111" t="s">
        <v>54</v>
      </c>
      <c r="AK7" s="111">
        <v>0</v>
      </c>
    </row>
    <row r="8" spans="1:38" ht="21.75" customHeight="1" x14ac:dyDescent="0.25">
      <c r="A8" s="75">
        <v>1</v>
      </c>
      <c r="B8" s="75" t="s">
        <v>36</v>
      </c>
      <c r="C8" s="100" t="s">
        <v>39</v>
      </c>
      <c r="D8" s="100" t="s">
        <v>238</v>
      </c>
      <c r="E8" s="101">
        <v>30</v>
      </c>
      <c r="F8" s="102"/>
      <c r="G8" s="103">
        <v>2</v>
      </c>
      <c r="H8" s="108" t="s">
        <v>234</v>
      </c>
      <c r="I8" s="103">
        <v>1</v>
      </c>
      <c r="J8" s="104">
        <v>100</v>
      </c>
      <c r="K8" s="104" t="s">
        <v>180</v>
      </c>
      <c r="L8" s="104" t="s">
        <v>211</v>
      </c>
      <c r="M8" s="104"/>
      <c r="N8" s="105">
        <v>1</v>
      </c>
      <c r="O8" s="104">
        <f t="shared" ref="O8" si="4">(J8*IF(K8="CV",735.499,IF(K8="HP",745.699872,IF(K8="BTU",0.29307107,J8))))/(IF(OR(L8="FN",  L8="FF",L8="FFN"),1,SQRT(3))*IF(P8=0,1,P8)*1000)</f>
        <v>10</v>
      </c>
      <c r="P8" s="106"/>
      <c r="Q8" s="105">
        <v>0.4</v>
      </c>
      <c r="R8" s="107"/>
      <c r="S8" s="108"/>
      <c r="T8" s="75"/>
      <c r="U8" s="109">
        <v>1</v>
      </c>
      <c r="V8" s="109" t="s">
        <v>8</v>
      </c>
      <c r="W8" s="110" t="s">
        <v>27</v>
      </c>
      <c r="X8" s="100">
        <v>7</v>
      </c>
      <c r="Y8" s="111">
        <v>3</v>
      </c>
      <c r="Z8" s="111" t="s">
        <v>168</v>
      </c>
      <c r="AA8" s="111">
        <v>1</v>
      </c>
      <c r="AB8" s="111" t="s">
        <v>37</v>
      </c>
      <c r="AC8" s="111" t="s">
        <v>37</v>
      </c>
      <c r="AD8" s="111" t="s">
        <v>113</v>
      </c>
      <c r="AE8" s="111" t="s">
        <v>54</v>
      </c>
      <c r="AF8" s="114">
        <v>0</v>
      </c>
      <c r="AG8" s="111">
        <v>0</v>
      </c>
      <c r="AH8" s="111">
        <v>0</v>
      </c>
      <c r="AI8" s="111">
        <v>0</v>
      </c>
      <c r="AJ8" s="111" t="s">
        <v>54</v>
      </c>
      <c r="AK8" s="111">
        <v>0</v>
      </c>
    </row>
    <row r="9" spans="1:38" ht="21.75" customHeight="1" x14ac:dyDescent="0.25">
      <c r="A9" s="75">
        <v>2</v>
      </c>
      <c r="B9" s="75" t="s">
        <v>36</v>
      </c>
      <c r="C9" s="100" t="s">
        <v>39</v>
      </c>
      <c r="D9" s="100" t="s">
        <v>239</v>
      </c>
      <c r="E9" s="101">
        <v>30</v>
      </c>
      <c r="F9" s="102"/>
      <c r="G9" s="103">
        <v>2</v>
      </c>
      <c r="H9" s="108" t="s">
        <v>234</v>
      </c>
      <c r="I9" s="103">
        <v>1</v>
      </c>
      <c r="J9" s="104">
        <v>100</v>
      </c>
      <c r="K9" s="104" t="s">
        <v>180</v>
      </c>
      <c r="L9" s="104" t="s">
        <v>211</v>
      </c>
      <c r="M9" s="104"/>
      <c r="N9" s="105">
        <v>1</v>
      </c>
      <c r="O9" s="104">
        <f t="shared" ref="O9:O10" si="5">(J9*IF(K9="CV",735.499,IF(K9="HP",745.699872,IF(K9="BTU",0.29307107,J9))))/(IF(OR(L9="FN",  L9="FF",L9="FFN"),1,SQRT(3))*IF(P9=0,1,P9)*1000)</f>
        <v>10</v>
      </c>
      <c r="P9" s="106"/>
      <c r="Q9" s="105">
        <v>0.4</v>
      </c>
      <c r="R9" s="107"/>
      <c r="S9" s="108"/>
      <c r="T9" s="75"/>
      <c r="U9" s="109">
        <v>1</v>
      </c>
      <c r="V9" s="109" t="s">
        <v>8</v>
      </c>
      <c r="W9" s="110" t="s">
        <v>27</v>
      </c>
      <c r="X9" s="100">
        <v>7</v>
      </c>
      <c r="Y9" s="111">
        <v>3</v>
      </c>
      <c r="Z9" s="111" t="s">
        <v>168</v>
      </c>
      <c r="AA9" s="111">
        <v>1</v>
      </c>
      <c r="AB9" s="111" t="s">
        <v>37</v>
      </c>
      <c r="AC9" s="111" t="s">
        <v>37</v>
      </c>
      <c r="AD9" s="111" t="s">
        <v>113</v>
      </c>
      <c r="AE9" s="111" t="s">
        <v>54</v>
      </c>
      <c r="AF9" s="114">
        <v>0</v>
      </c>
      <c r="AG9" s="111">
        <v>0</v>
      </c>
      <c r="AH9" s="111">
        <v>0</v>
      </c>
      <c r="AI9" s="111">
        <v>0</v>
      </c>
      <c r="AJ9" s="111" t="s">
        <v>54</v>
      </c>
      <c r="AK9" s="111">
        <v>0</v>
      </c>
    </row>
    <row r="10" spans="1:38" ht="21.75" customHeight="1" x14ac:dyDescent="0.25">
      <c r="A10" s="75">
        <v>2</v>
      </c>
      <c r="B10" s="75" t="s">
        <v>36</v>
      </c>
      <c r="C10" s="100" t="s">
        <v>39</v>
      </c>
      <c r="D10" s="100" t="s">
        <v>240</v>
      </c>
      <c r="E10" s="101">
        <v>30</v>
      </c>
      <c r="F10" s="102"/>
      <c r="G10" s="103">
        <v>2</v>
      </c>
      <c r="H10" s="108" t="s">
        <v>234</v>
      </c>
      <c r="I10" s="103">
        <v>1</v>
      </c>
      <c r="J10" s="104">
        <v>160</v>
      </c>
      <c r="K10" s="104" t="s">
        <v>180</v>
      </c>
      <c r="L10" s="104" t="s">
        <v>211</v>
      </c>
      <c r="M10" s="104"/>
      <c r="N10" s="105">
        <v>1</v>
      </c>
      <c r="O10" s="104">
        <f t="shared" si="5"/>
        <v>25.6</v>
      </c>
      <c r="P10" s="106"/>
      <c r="Q10" s="105">
        <v>0.4</v>
      </c>
      <c r="R10" s="107"/>
      <c r="S10" s="108"/>
      <c r="T10" s="75"/>
      <c r="U10" s="109">
        <v>1</v>
      </c>
      <c r="V10" s="109" t="s">
        <v>8</v>
      </c>
      <c r="W10" s="110" t="s">
        <v>27</v>
      </c>
      <c r="X10" s="100">
        <v>7</v>
      </c>
      <c r="Y10" s="111">
        <v>3</v>
      </c>
      <c r="Z10" s="111" t="s">
        <v>168</v>
      </c>
      <c r="AA10" s="111">
        <v>1</v>
      </c>
      <c r="AB10" s="111" t="s">
        <v>37</v>
      </c>
      <c r="AC10" s="111" t="s">
        <v>37</v>
      </c>
      <c r="AD10" s="111" t="s">
        <v>113</v>
      </c>
      <c r="AE10" s="111" t="s">
        <v>54</v>
      </c>
      <c r="AF10" s="114">
        <v>0</v>
      </c>
      <c r="AG10" s="111">
        <v>0</v>
      </c>
      <c r="AH10" s="111">
        <v>0</v>
      </c>
      <c r="AI10" s="111">
        <v>0</v>
      </c>
      <c r="AJ10" s="111" t="s">
        <v>54</v>
      </c>
      <c r="AK10" s="111">
        <v>0</v>
      </c>
    </row>
    <row r="11" spans="1:38" ht="21.75" customHeight="1" x14ac:dyDescent="0.25">
      <c r="A11" s="75">
        <v>2</v>
      </c>
      <c r="B11" s="75" t="s">
        <v>36</v>
      </c>
      <c r="C11" s="100" t="s">
        <v>39</v>
      </c>
      <c r="D11" s="100" t="s">
        <v>241</v>
      </c>
      <c r="E11" s="101">
        <v>30</v>
      </c>
      <c r="F11" s="102"/>
      <c r="G11" s="103">
        <v>2</v>
      </c>
      <c r="H11" s="108" t="s">
        <v>234</v>
      </c>
      <c r="I11" s="103">
        <v>1</v>
      </c>
      <c r="J11" s="104">
        <v>100</v>
      </c>
      <c r="K11" s="104" t="s">
        <v>180</v>
      </c>
      <c r="L11" s="104" t="s">
        <v>211</v>
      </c>
      <c r="M11" s="104"/>
      <c r="N11" s="105">
        <v>1</v>
      </c>
      <c r="O11" s="104">
        <f t="shared" ref="O11" si="6">(J11*IF(K11="CV",735.499,IF(K11="HP",745.699872,IF(K11="BTU",0.29307107,J11))))/(IF(OR(L11="FN",  L11="FF",L11="FFN"),1,SQRT(3))*IF(P11=0,1,P11)*1000)</f>
        <v>10</v>
      </c>
      <c r="P11" s="106"/>
      <c r="Q11" s="105">
        <v>0.4</v>
      </c>
      <c r="R11" s="107"/>
      <c r="S11" s="108"/>
      <c r="T11" s="75"/>
      <c r="U11" s="109">
        <v>1</v>
      </c>
      <c r="V11" s="109" t="s">
        <v>8</v>
      </c>
      <c r="W11" s="110" t="s">
        <v>27</v>
      </c>
      <c r="X11" s="100">
        <v>7</v>
      </c>
      <c r="Y11" s="111">
        <v>3</v>
      </c>
      <c r="Z11" s="111" t="s">
        <v>168</v>
      </c>
      <c r="AA11" s="111">
        <v>1</v>
      </c>
      <c r="AB11" s="111" t="s">
        <v>37</v>
      </c>
      <c r="AC11" s="111" t="s">
        <v>37</v>
      </c>
      <c r="AD11" s="111" t="s">
        <v>113</v>
      </c>
      <c r="AE11" s="111" t="s">
        <v>54</v>
      </c>
      <c r="AF11" s="114">
        <v>0</v>
      </c>
      <c r="AG11" s="111">
        <v>0</v>
      </c>
      <c r="AH11" s="111">
        <v>0</v>
      </c>
      <c r="AI11" s="111">
        <v>0</v>
      </c>
      <c r="AJ11" s="111" t="s">
        <v>54</v>
      </c>
      <c r="AK11" s="111">
        <v>0</v>
      </c>
    </row>
    <row r="12" spans="1:38" ht="21.75" customHeight="1" x14ac:dyDescent="0.25">
      <c r="A12" s="75">
        <v>2</v>
      </c>
      <c r="B12" s="75" t="s">
        <v>36</v>
      </c>
      <c r="C12" s="100" t="s">
        <v>39</v>
      </c>
      <c r="D12" s="100" t="s">
        <v>242</v>
      </c>
      <c r="E12" s="101">
        <v>30</v>
      </c>
      <c r="F12" s="102"/>
      <c r="G12" s="103">
        <v>2</v>
      </c>
      <c r="H12" s="108" t="s">
        <v>234</v>
      </c>
      <c r="I12" s="103">
        <v>1</v>
      </c>
      <c r="J12" s="104">
        <v>100</v>
      </c>
      <c r="K12" s="104" t="s">
        <v>180</v>
      </c>
      <c r="L12" s="104" t="s">
        <v>211</v>
      </c>
      <c r="M12" s="104"/>
      <c r="N12" s="105">
        <v>1</v>
      </c>
      <c r="O12" s="104">
        <f t="shared" ref="O12" si="7">(J12*IF(K12="CV",735.499,IF(K12="HP",745.699872,IF(K12="BTU",0.29307107,J12))))/(IF(OR(L12="FN",  L12="FF",L12="FFN"),1,SQRT(3))*IF(P12=0,1,P12)*1000)</f>
        <v>10</v>
      </c>
      <c r="P12" s="106"/>
      <c r="Q12" s="105">
        <v>0.4</v>
      </c>
      <c r="R12" s="107"/>
      <c r="S12" s="108"/>
      <c r="T12" s="75"/>
      <c r="U12" s="109">
        <v>1</v>
      </c>
      <c r="V12" s="109" t="s">
        <v>8</v>
      </c>
      <c r="W12" s="110" t="s">
        <v>27</v>
      </c>
      <c r="X12" s="100">
        <v>7</v>
      </c>
      <c r="Y12" s="111">
        <v>3</v>
      </c>
      <c r="Z12" s="111" t="s">
        <v>168</v>
      </c>
      <c r="AA12" s="111">
        <v>1</v>
      </c>
      <c r="AB12" s="111" t="s">
        <v>37</v>
      </c>
      <c r="AC12" s="111" t="s">
        <v>37</v>
      </c>
      <c r="AD12" s="111" t="s">
        <v>113</v>
      </c>
      <c r="AE12" s="111" t="s">
        <v>54</v>
      </c>
      <c r="AF12" s="114">
        <v>0</v>
      </c>
      <c r="AG12" s="111">
        <v>0</v>
      </c>
      <c r="AH12" s="111">
        <v>0</v>
      </c>
      <c r="AI12" s="111">
        <v>0</v>
      </c>
      <c r="AJ12" s="111" t="s">
        <v>54</v>
      </c>
      <c r="AK12" s="111">
        <v>0</v>
      </c>
    </row>
    <row r="13" spans="1:38" ht="21.75" customHeight="1" x14ac:dyDescent="0.25">
      <c r="A13" s="75">
        <v>3</v>
      </c>
      <c r="B13" s="75" t="s">
        <v>36</v>
      </c>
      <c r="C13" s="100" t="s">
        <v>41</v>
      </c>
      <c r="D13" s="100" t="s">
        <v>233</v>
      </c>
      <c r="E13" s="101">
        <v>30</v>
      </c>
      <c r="F13" s="102"/>
      <c r="G13" s="103">
        <v>2</v>
      </c>
      <c r="H13" s="108" t="s">
        <v>243</v>
      </c>
      <c r="I13" s="103">
        <v>4</v>
      </c>
      <c r="J13" s="104">
        <v>100</v>
      </c>
      <c r="K13" s="104" t="s">
        <v>180</v>
      </c>
      <c r="L13" s="104" t="s">
        <v>211</v>
      </c>
      <c r="M13" s="104"/>
      <c r="N13" s="105">
        <v>0.8</v>
      </c>
      <c r="O13" s="104">
        <f t="shared" ref="O13" si="8">(J13*IF(K13="CV",735.499,IF(K13="HP",745.699872,IF(K13="BTU",0.29307107,J13))))/(IF(OR(L13="FN",  L13="FF",L13="FFN"),1,SQRT(3))*IF(P13=0,1,P13)*1000)</f>
        <v>10</v>
      </c>
      <c r="P13" s="106"/>
      <c r="Q13" s="105">
        <v>0.4</v>
      </c>
      <c r="R13" s="107"/>
      <c r="S13" s="108"/>
      <c r="T13" s="75"/>
      <c r="U13" s="109">
        <v>1</v>
      </c>
      <c r="V13" s="109" t="s">
        <v>8</v>
      </c>
      <c r="W13" s="110" t="s">
        <v>27</v>
      </c>
      <c r="X13" s="100">
        <v>7</v>
      </c>
      <c r="Y13" s="111">
        <v>3</v>
      </c>
      <c r="Z13" s="111" t="s">
        <v>168</v>
      </c>
      <c r="AA13" s="111">
        <v>1</v>
      </c>
      <c r="AB13" s="111" t="s">
        <v>37</v>
      </c>
      <c r="AC13" s="111" t="s">
        <v>37</v>
      </c>
      <c r="AD13" s="111" t="s">
        <v>113</v>
      </c>
      <c r="AE13" s="111" t="s">
        <v>54</v>
      </c>
      <c r="AF13" s="114">
        <v>0</v>
      </c>
      <c r="AG13" s="111">
        <v>0</v>
      </c>
      <c r="AH13" s="111">
        <v>0</v>
      </c>
      <c r="AI13" s="111">
        <v>0</v>
      </c>
      <c r="AJ13" s="111" t="s">
        <v>54</v>
      </c>
      <c r="AK13" s="111">
        <v>0</v>
      </c>
    </row>
    <row r="14" spans="1:38" ht="21.75" customHeight="1" x14ac:dyDescent="0.25">
      <c r="A14" s="75">
        <v>3</v>
      </c>
      <c r="B14" s="75" t="s">
        <v>36</v>
      </c>
      <c r="C14" s="100" t="s">
        <v>41</v>
      </c>
      <c r="D14" s="100" t="s">
        <v>235</v>
      </c>
      <c r="E14" s="101">
        <v>30</v>
      </c>
      <c r="F14" s="102"/>
      <c r="G14" s="103">
        <v>2</v>
      </c>
      <c r="H14" s="108" t="s">
        <v>243</v>
      </c>
      <c r="I14" s="103">
        <v>4</v>
      </c>
      <c r="J14" s="104">
        <v>100</v>
      </c>
      <c r="K14" s="104" t="s">
        <v>180</v>
      </c>
      <c r="L14" s="104" t="s">
        <v>211</v>
      </c>
      <c r="M14" s="104"/>
      <c r="N14" s="105">
        <v>0.8</v>
      </c>
      <c r="O14" s="104">
        <f t="shared" ref="O14" si="9">(J14*IF(K14="CV",735.499,IF(K14="HP",745.699872,IF(K14="BTU",0.29307107,J14))))/(IF(OR(L14="FN",  L14="FF",L14="FFN"),1,SQRT(3))*IF(P14=0,1,P14)*1000)</f>
        <v>10</v>
      </c>
      <c r="P14" s="106"/>
      <c r="Q14" s="105">
        <v>0.4</v>
      </c>
      <c r="R14" s="107"/>
      <c r="S14" s="108"/>
      <c r="T14" s="75"/>
      <c r="U14" s="109">
        <v>1</v>
      </c>
      <c r="V14" s="109" t="s">
        <v>8</v>
      </c>
      <c r="W14" s="110" t="s">
        <v>27</v>
      </c>
      <c r="X14" s="100">
        <v>7</v>
      </c>
      <c r="Y14" s="111">
        <v>3</v>
      </c>
      <c r="Z14" s="111" t="s">
        <v>168</v>
      </c>
      <c r="AA14" s="111">
        <v>1</v>
      </c>
      <c r="AB14" s="111" t="s">
        <v>37</v>
      </c>
      <c r="AC14" s="111" t="s">
        <v>37</v>
      </c>
      <c r="AD14" s="111" t="s">
        <v>113</v>
      </c>
      <c r="AE14" s="111" t="s">
        <v>54</v>
      </c>
      <c r="AF14" s="114">
        <v>0</v>
      </c>
      <c r="AG14" s="111">
        <v>0</v>
      </c>
      <c r="AH14" s="111">
        <v>0</v>
      </c>
      <c r="AI14" s="111">
        <v>0</v>
      </c>
      <c r="AJ14" s="111" t="s">
        <v>54</v>
      </c>
      <c r="AK14" s="111">
        <v>0</v>
      </c>
    </row>
    <row r="15" spans="1:38" ht="21.75" customHeight="1" x14ac:dyDescent="0.25">
      <c r="A15" s="75">
        <v>3</v>
      </c>
      <c r="B15" s="75" t="s">
        <v>36</v>
      </c>
      <c r="C15" s="100" t="s">
        <v>41</v>
      </c>
      <c r="D15" s="100" t="s">
        <v>238</v>
      </c>
      <c r="E15" s="101">
        <v>30</v>
      </c>
      <c r="F15" s="102"/>
      <c r="G15" s="103">
        <v>2</v>
      </c>
      <c r="H15" s="108" t="s">
        <v>243</v>
      </c>
      <c r="I15" s="103">
        <v>1</v>
      </c>
      <c r="J15" s="104">
        <v>100</v>
      </c>
      <c r="K15" s="104" t="s">
        <v>180</v>
      </c>
      <c r="L15" s="104" t="s">
        <v>211</v>
      </c>
      <c r="M15" s="104"/>
      <c r="N15" s="105">
        <v>0.8</v>
      </c>
      <c r="O15" s="104">
        <f t="shared" ref="O15" si="10">(J15*IF(K15="CV",735.499,IF(K15="HP",745.699872,IF(K15="BTU",0.29307107,J15))))/(IF(OR(L15="FN",  L15="FF",L15="FFN"),1,SQRT(3))*IF(P15=0,1,P15)*1000)</f>
        <v>10</v>
      </c>
      <c r="P15" s="106"/>
      <c r="Q15" s="105">
        <v>0.4</v>
      </c>
      <c r="R15" s="107"/>
      <c r="S15" s="108"/>
      <c r="T15" s="75"/>
      <c r="U15" s="109">
        <v>1</v>
      </c>
      <c r="V15" s="109" t="s">
        <v>8</v>
      </c>
      <c r="W15" s="110" t="s">
        <v>27</v>
      </c>
      <c r="X15" s="100">
        <v>7</v>
      </c>
      <c r="Y15" s="111">
        <v>3</v>
      </c>
      <c r="Z15" s="111" t="s">
        <v>168</v>
      </c>
      <c r="AA15" s="111">
        <v>1</v>
      </c>
      <c r="AB15" s="111" t="s">
        <v>37</v>
      </c>
      <c r="AC15" s="111" t="s">
        <v>37</v>
      </c>
      <c r="AD15" s="111" t="s">
        <v>113</v>
      </c>
      <c r="AE15" s="111" t="s">
        <v>54</v>
      </c>
      <c r="AF15" s="114">
        <v>0</v>
      </c>
      <c r="AG15" s="111">
        <v>0</v>
      </c>
      <c r="AH15" s="111">
        <v>0</v>
      </c>
      <c r="AI15" s="111">
        <v>0</v>
      </c>
      <c r="AJ15" s="111" t="s">
        <v>54</v>
      </c>
      <c r="AK15" s="111">
        <v>0</v>
      </c>
    </row>
    <row r="16" spans="1:38" ht="21.75" customHeight="1" x14ac:dyDescent="0.25">
      <c r="A16" s="75">
        <v>4</v>
      </c>
      <c r="B16" s="75" t="s">
        <v>36</v>
      </c>
      <c r="C16" s="100" t="s">
        <v>41</v>
      </c>
      <c r="D16" s="100" t="s">
        <v>237</v>
      </c>
      <c r="E16" s="101">
        <v>30</v>
      </c>
      <c r="F16" s="102"/>
      <c r="G16" s="103">
        <v>2</v>
      </c>
      <c r="H16" s="108" t="s">
        <v>243</v>
      </c>
      <c r="I16" s="103">
        <v>1</v>
      </c>
      <c r="J16" s="104">
        <v>600</v>
      </c>
      <c r="K16" s="104" t="s">
        <v>180</v>
      </c>
      <c r="L16" s="104" t="s">
        <v>211</v>
      </c>
      <c r="M16" s="104"/>
      <c r="N16" s="105">
        <v>0.8</v>
      </c>
      <c r="O16" s="104">
        <f t="shared" ref="O16" si="11">(J16*IF(K16="CV",735.499,IF(K16="HP",745.699872,IF(K16="BTU",0.29307107,J16))))/(IF(OR(L16="FN",  L16="FF",L16="FFN"),1,SQRT(3))*IF(P16=0,1,P16)*1000)</f>
        <v>360</v>
      </c>
      <c r="P16" s="106"/>
      <c r="Q16" s="105">
        <v>0.4</v>
      </c>
      <c r="R16" s="107"/>
      <c r="S16" s="108"/>
      <c r="T16" s="75"/>
      <c r="U16" s="109">
        <v>1</v>
      </c>
      <c r="V16" s="109" t="s">
        <v>8</v>
      </c>
      <c r="W16" s="110" t="s">
        <v>27</v>
      </c>
      <c r="X16" s="100">
        <v>7</v>
      </c>
      <c r="Y16" s="111">
        <v>3</v>
      </c>
      <c r="Z16" s="111" t="s">
        <v>168</v>
      </c>
      <c r="AA16" s="111">
        <v>1</v>
      </c>
      <c r="AB16" s="111" t="s">
        <v>37</v>
      </c>
      <c r="AC16" s="111" t="s">
        <v>37</v>
      </c>
      <c r="AD16" s="111" t="s">
        <v>113</v>
      </c>
      <c r="AE16" s="111" t="s">
        <v>54</v>
      </c>
      <c r="AF16" s="114">
        <v>0</v>
      </c>
      <c r="AG16" s="111">
        <v>0</v>
      </c>
      <c r="AH16" s="111">
        <v>0</v>
      </c>
      <c r="AI16" s="111">
        <v>0</v>
      </c>
      <c r="AJ16" s="111" t="s">
        <v>54</v>
      </c>
      <c r="AK16" s="111">
        <v>0</v>
      </c>
    </row>
    <row r="17" spans="1:37" ht="21.75" customHeight="1" x14ac:dyDescent="0.25">
      <c r="A17" s="75">
        <v>4</v>
      </c>
      <c r="B17" s="75" t="s">
        <v>36</v>
      </c>
      <c r="C17" s="100" t="s">
        <v>41</v>
      </c>
      <c r="D17" s="100" t="s">
        <v>236</v>
      </c>
      <c r="E17" s="101">
        <v>30</v>
      </c>
      <c r="F17" s="102"/>
      <c r="G17" s="103">
        <v>2</v>
      </c>
      <c r="H17" s="108" t="s">
        <v>243</v>
      </c>
      <c r="I17" s="103">
        <v>4</v>
      </c>
      <c r="J17" s="104">
        <v>100</v>
      </c>
      <c r="K17" s="104" t="s">
        <v>180</v>
      </c>
      <c r="L17" s="104" t="s">
        <v>211</v>
      </c>
      <c r="M17" s="104"/>
      <c r="N17" s="105">
        <v>0.8</v>
      </c>
      <c r="O17" s="104">
        <f t="shared" ref="O17" si="12">(J17*IF(K17="CV",735.499,IF(K17="HP",745.699872,IF(K17="BTU",0.29307107,J17))))/(IF(OR(L17="FN",  L17="FF",L17="FFN"),1,SQRT(3))*IF(P17=0,1,P17)*1000)</f>
        <v>10</v>
      </c>
      <c r="P17" s="106"/>
      <c r="Q17" s="105">
        <v>0.4</v>
      </c>
      <c r="R17" s="107"/>
      <c r="S17" s="108"/>
      <c r="T17" s="75"/>
      <c r="U17" s="109">
        <v>1</v>
      </c>
      <c r="V17" s="109" t="s">
        <v>8</v>
      </c>
      <c r="W17" s="110" t="s">
        <v>27</v>
      </c>
      <c r="X17" s="100">
        <v>7</v>
      </c>
      <c r="Y17" s="111">
        <v>3</v>
      </c>
      <c r="Z17" s="111" t="s">
        <v>168</v>
      </c>
      <c r="AA17" s="111">
        <v>1</v>
      </c>
      <c r="AB17" s="111" t="s">
        <v>37</v>
      </c>
      <c r="AC17" s="111" t="s">
        <v>37</v>
      </c>
      <c r="AD17" s="111" t="s">
        <v>113</v>
      </c>
      <c r="AE17" s="111" t="s">
        <v>54</v>
      </c>
      <c r="AF17" s="114">
        <v>0</v>
      </c>
      <c r="AG17" s="111">
        <v>0</v>
      </c>
      <c r="AH17" s="111">
        <v>0</v>
      </c>
      <c r="AI17" s="111">
        <v>0</v>
      </c>
      <c r="AJ17" s="111" t="s">
        <v>54</v>
      </c>
      <c r="AK17" s="111">
        <v>0</v>
      </c>
    </row>
    <row r="18" spans="1:37" ht="21.75" customHeight="1" x14ac:dyDescent="0.25">
      <c r="A18" s="75">
        <v>5</v>
      </c>
      <c r="B18" s="75" t="s">
        <v>36</v>
      </c>
      <c r="C18" s="100" t="s">
        <v>41</v>
      </c>
      <c r="D18" s="100" t="s">
        <v>239</v>
      </c>
      <c r="E18" s="101">
        <v>30</v>
      </c>
      <c r="F18" s="102"/>
      <c r="G18" s="103">
        <v>2</v>
      </c>
      <c r="H18" s="108" t="s">
        <v>243</v>
      </c>
      <c r="I18" s="103">
        <v>2</v>
      </c>
      <c r="J18" s="104">
        <v>600</v>
      </c>
      <c r="K18" s="104" t="s">
        <v>180</v>
      </c>
      <c r="L18" s="104" t="s">
        <v>211</v>
      </c>
      <c r="M18" s="104"/>
      <c r="N18" s="105">
        <v>0.8</v>
      </c>
      <c r="O18" s="104">
        <f t="shared" ref="O18" si="13">(J18*IF(K18="CV",735.499,IF(K18="HP",745.699872,IF(K18="BTU",0.29307107,J18))))/(IF(OR(L18="FN",  L18="FF",L18="FFN"),1,SQRT(3))*IF(P18=0,1,P18)*1000)</f>
        <v>360</v>
      </c>
      <c r="P18" s="106"/>
      <c r="Q18" s="105">
        <v>0.4</v>
      </c>
      <c r="R18" s="107"/>
      <c r="S18" s="108"/>
      <c r="T18" s="75"/>
      <c r="U18" s="109">
        <v>1</v>
      </c>
      <c r="V18" s="109" t="s">
        <v>8</v>
      </c>
      <c r="W18" s="110" t="s">
        <v>27</v>
      </c>
      <c r="X18" s="100">
        <v>7</v>
      </c>
      <c r="Y18" s="111">
        <v>3</v>
      </c>
      <c r="Z18" s="111" t="s">
        <v>168</v>
      </c>
      <c r="AA18" s="111">
        <v>1</v>
      </c>
      <c r="AB18" s="111" t="s">
        <v>37</v>
      </c>
      <c r="AC18" s="111" t="s">
        <v>37</v>
      </c>
      <c r="AD18" s="111" t="s">
        <v>113</v>
      </c>
      <c r="AE18" s="111" t="s">
        <v>54</v>
      </c>
      <c r="AF18" s="114">
        <v>0</v>
      </c>
      <c r="AG18" s="111">
        <v>0</v>
      </c>
      <c r="AH18" s="111">
        <v>0</v>
      </c>
      <c r="AI18" s="111">
        <v>0</v>
      </c>
      <c r="AJ18" s="111" t="s">
        <v>54</v>
      </c>
      <c r="AK18" s="111">
        <v>0</v>
      </c>
    </row>
    <row r="19" spans="1:37" ht="21.75" customHeight="1" x14ac:dyDescent="0.25">
      <c r="A19" s="75">
        <v>6</v>
      </c>
      <c r="B19" s="75" t="s">
        <v>36</v>
      </c>
      <c r="C19" s="100" t="s">
        <v>41</v>
      </c>
      <c r="D19" s="100" t="s">
        <v>239</v>
      </c>
      <c r="E19" s="101">
        <v>30</v>
      </c>
      <c r="F19" s="102"/>
      <c r="G19" s="103">
        <v>2</v>
      </c>
      <c r="H19" s="108" t="s">
        <v>243</v>
      </c>
      <c r="I19" s="103">
        <v>1</v>
      </c>
      <c r="J19" s="104">
        <v>100</v>
      </c>
      <c r="K19" s="104" t="s">
        <v>180</v>
      </c>
      <c r="L19" s="104" t="s">
        <v>211</v>
      </c>
      <c r="M19" s="104"/>
      <c r="N19" s="105">
        <v>0.8</v>
      </c>
      <c r="O19" s="104">
        <f t="shared" ref="O19" si="14">(J19*IF(K19="CV",735.499,IF(K19="HP",745.699872,IF(K19="BTU",0.29307107,J19))))/(IF(OR(L19="FN",  L19="FF",L19="FFN"),1,SQRT(3))*IF(P19=0,1,P19)*1000)</f>
        <v>10</v>
      </c>
      <c r="P19" s="106"/>
      <c r="Q19" s="105">
        <v>0.4</v>
      </c>
      <c r="R19" s="107"/>
      <c r="S19" s="108"/>
      <c r="T19" s="75"/>
      <c r="U19" s="109">
        <v>1</v>
      </c>
      <c r="V19" s="109" t="s">
        <v>8</v>
      </c>
      <c r="W19" s="110" t="s">
        <v>27</v>
      </c>
      <c r="X19" s="100">
        <v>7</v>
      </c>
      <c r="Y19" s="111">
        <v>2</v>
      </c>
      <c r="Z19" s="111" t="s">
        <v>168</v>
      </c>
      <c r="AA19" s="111">
        <v>1</v>
      </c>
      <c r="AB19" s="111" t="s">
        <v>37</v>
      </c>
      <c r="AC19" s="111" t="s">
        <v>37</v>
      </c>
      <c r="AD19" s="111" t="s">
        <v>113</v>
      </c>
      <c r="AE19" s="111" t="s">
        <v>54</v>
      </c>
      <c r="AF19" s="114">
        <v>0</v>
      </c>
      <c r="AG19" s="111">
        <v>0</v>
      </c>
      <c r="AH19" s="111">
        <v>0</v>
      </c>
      <c r="AI19" s="111">
        <v>0</v>
      </c>
      <c r="AJ19" s="111" t="s">
        <v>54</v>
      </c>
      <c r="AK19" s="111">
        <v>0</v>
      </c>
    </row>
    <row r="20" spans="1:37" ht="21.75" customHeight="1" x14ac:dyDescent="0.25">
      <c r="A20" s="75">
        <v>6</v>
      </c>
      <c r="B20" s="75" t="s">
        <v>36</v>
      </c>
      <c r="C20" s="100" t="s">
        <v>41</v>
      </c>
      <c r="D20" s="100" t="s">
        <v>239</v>
      </c>
      <c r="E20" s="101">
        <v>30</v>
      </c>
      <c r="F20" s="102"/>
      <c r="G20" s="103">
        <v>2</v>
      </c>
      <c r="H20" s="108" t="s">
        <v>243</v>
      </c>
      <c r="I20" s="103">
        <v>1</v>
      </c>
      <c r="J20" s="104">
        <v>600</v>
      </c>
      <c r="K20" s="104" t="s">
        <v>180</v>
      </c>
      <c r="L20" s="104" t="s">
        <v>211</v>
      </c>
      <c r="M20" s="104"/>
      <c r="N20" s="105">
        <v>0.8</v>
      </c>
      <c r="O20" s="104">
        <f t="shared" ref="O20" si="15">(J20*IF(K20="CV",735.499,IF(K20="HP",745.699872,IF(K20="BTU",0.29307107,J20))))/(IF(OR(L20="FN",  L20="FF",L20="FFN"),1,SQRT(3))*IF(P20=0,1,P20)*1000)</f>
        <v>360</v>
      </c>
      <c r="P20" s="106"/>
      <c r="Q20" s="105">
        <v>0.4</v>
      </c>
      <c r="R20" s="107"/>
      <c r="S20" s="108"/>
      <c r="T20" s="75"/>
      <c r="U20" s="109">
        <v>1</v>
      </c>
      <c r="V20" s="109" t="s">
        <v>8</v>
      </c>
      <c r="W20" s="110" t="s">
        <v>27</v>
      </c>
      <c r="X20" s="100">
        <v>7</v>
      </c>
      <c r="Y20" s="111">
        <v>2</v>
      </c>
      <c r="Z20" s="111" t="s">
        <v>168</v>
      </c>
      <c r="AA20" s="111">
        <v>1</v>
      </c>
      <c r="AB20" s="111" t="s">
        <v>37</v>
      </c>
      <c r="AC20" s="111" t="s">
        <v>37</v>
      </c>
      <c r="AD20" s="111" t="s">
        <v>113</v>
      </c>
      <c r="AE20" s="111" t="s">
        <v>54</v>
      </c>
      <c r="AF20" s="114">
        <v>0</v>
      </c>
      <c r="AG20" s="111">
        <v>0</v>
      </c>
      <c r="AH20" s="111">
        <v>0</v>
      </c>
      <c r="AI20" s="111">
        <v>0</v>
      </c>
      <c r="AJ20" s="111" t="s">
        <v>54</v>
      </c>
      <c r="AK20" s="111">
        <v>0</v>
      </c>
    </row>
    <row r="21" spans="1:37" ht="21.75" customHeight="1" x14ac:dyDescent="0.25">
      <c r="A21" s="75">
        <v>7</v>
      </c>
      <c r="B21" s="75" t="s">
        <v>36</v>
      </c>
      <c r="C21" s="100" t="s">
        <v>41</v>
      </c>
      <c r="D21" s="100" t="s">
        <v>240</v>
      </c>
      <c r="E21" s="101">
        <v>30</v>
      </c>
      <c r="F21" s="102"/>
      <c r="G21" s="103">
        <v>2</v>
      </c>
      <c r="H21" s="108" t="s">
        <v>243</v>
      </c>
      <c r="I21" s="103">
        <v>2</v>
      </c>
      <c r="J21" s="104">
        <v>600</v>
      </c>
      <c r="K21" s="104" t="s">
        <v>180</v>
      </c>
      <c r="L21" s="104" t="s">
        <v>211</v>
      </c>
      <c r="M21" s="104"/>
      <c r="N21" s="105">
        <v>0.8</v>
      </c>
      <c r="O21" s="104">
        <f t="shared" ref="O21" si="16">(J21*IF(K21="CV",735.499,IF(K21="HP",745.699872,IF(K21="BTU",0.29307107,J21))))/(IF(OR(L21="FN",  L21="FF",L21="FFN"),1,SQRT(3))*IF(P21=0,1,P21)*1000)</f>
        <v>360</v>
      </c>
      <c r="P21" s="106"/>
      <c r="Q21" s="105">
        <v>0.4</v>
      </c>
      <c r="R21" s="107"/>
      <c r="S21" s="108"/>
      <c r="T21" s="75"/>
      <c r="U21" s="109">
        <v>1</v>
      </c>
      <c r="V21" s="109" t="s">
        <v>8</v>
      </c>
      <c r="W21" s="110" t="s">
        <v>27</v>
      </c>
      <c r="X21" s="100">
        <v>7</v>
      </c>
      <c r="Y21" s="111">
        <v>3</v>
      </c>
      <c r="Z21" s="111" t="s">
        <v>168</v>
      </c>
      <c r="AA21" s="111">
        <v>1</v>
      </c>
      <c r="AB21" s="111" t="s">
        <v>37</v>
      </c>
      <c r="AC21" s="111" t="s">
        <v>37</v>
      </c>
      <c r="AD21" s="111" t="s">
        <v>113</v>
      </c>
      <c r="AE21" s="111" t="s">
        <v>54</v>
      </c>
      <c r="AF21" s="114">
        <v>0</v>
      </c>
      <c r="AG21" s="111">
        <v>0</v>
      </c>
      <c r="AH21" s="111">
        <v>0</v>
      </c>
      <c r="AI21" s="111">
        <v>0</v>
      </c>
      <c r="AJ21" s="111" t="s">
        <v>54</v>
      </c>
      <c r="AK21" s="111">
        <v>0</v>
      </c>
    </row>
    <row r="22" spans="1:37" ht="21.75" customHeight="1" x14ac:dyDescent="0.25">
      <c r="A22" s="75">
        <v>8</v>
      </c>
      <c r="B22" s="75" t="s">
        <v>36</v>
      </c>
      <c r="C22" s="100" t="s">
        <v>41</v>
      </c>
      <c r="D22" s="100" t="s">
        <v>240</v>
      </c>
      <c r="E22" s="101">
        <v>30</v>
      </c>
      <c r="F22" s="102"/>
      <c r="G22" s="103">
        <v>2</v>
      </c>
      <c r="H22" s="108" t="s">
        <v>243</v>
      </c>
      <c r="I22" s="103">
        <v>1</v>
      </c>
      <c r="J22" s="104">
        <v>100</v>
      </c>
      <c r="K22" s="104" t="s">
        <v>180</v>
      </c>
      <c r="L22" s="104" t="s">
        <v>211</v>
      </c>
      <c r="M22" s="104"/>
      <c r="N22" s="105">
        <v>0.8</v>
      </c>
      <c r="O22" s="104">
        <f t="shared" ref="O22" si="17">(J22*IF(K22="CV",735.499,IF(K22="HP",745.699872,IF(K22="BTU",0.29307107,J22))))/(IF(OR(L22="FN",  L22="FF",L22="FFN"),1,SQRT(3))*IF(P22=0,1,P22)*1000)</f>
        <v>10</v>
      </c>
      <c r="P22" s="106"/>
      <c r="Q22" s="105">
        <v>0.4</v>
      </c>
      <c r="R22" s="107"/>
      <c r="S22" s="108"/>
      <c r="T22" s="75"/>
      <c r="U22" s="109">
        <v>1</v>
      </c>
      <c r="V22" s="109" t="s">
        <v>8</v>
      </c>
      <c r="W22" s="110" t="s">
        <v>27</v>
      </c>
      <c r="X22" s="100">
        <v>7</v>
      </c>
      <c r="Y22" s="111">
        <v>3</v>
      </c>
      <c r="Z22" s="111" t="s">
        <v>168</v>
      </c>
      <c r="AA22" s="111">
        <v>1</v>
      </c>
      <c r="AB22" s="111" t="s">
        <v>37</v>
      </c>
      <c r="AC22" s="111" t="s">
        <v>37</v>
      </c>
      <c r="AD22" s="111" t="s">
        <v>113</v>
      </c>
      <c r="AE22" s="111" t="s">
        <v>54</v>
      </c>
      <c r="AF22" s="114">
        <v>0</v>
      </c>
      <c r="AG22" s="111">
        <v>0</v>
      </c>
      <c r="AH22" s="111">
        <v>0</v>
      </c>
      <c r="AI22" s="111">
        <v>0</v>
      </c>
      <c r="AJ22" s="111" t="s">
        <v>54</v>
      </c>
      <c r="AK22" s="111">
        <v>0</v>
      </c>
    </row>
    <row r="23" spans="1:37" ht="21.75" customHeight="1" x14ac:dyDescent="0.25">
      <c r="A23" s="75">
        <v>8</v>
      </c>
      <c r="B23" s="75" t="s">
        <v>36</v>
      </c>
      <c r="C23" s="100" t="s">
        <v>41</v>
      </c>
      <c r="D23" s="100" t="s">
        <v>240</v>
      </c>
      <c r="E23" s="101">
        <v>30</v>
      </c>
      <c r="F23" s="102"/>
      <c r="G23" s="103">
        <v>2</v>
      </c>
      <c r="H23" s="108" t="s">
        <v>243</v>
      </c>
      <c r="I23" s="103">
        <v>1</v>
      </c>
      <c r="J23" s="104">
        <v>600</v>
      </c>
      <c r="K23" s="104" t="s">
        <v>180</v>
      </c>
      <c r="L23" s="104" t="s">
        <v>211</v>
      </c>
      <c r="M23" s="104"/>
      <c r="N23" s="105">
        <v>0.8</v>
      </c>
      <c r="O23" s="104">
        <f t="shared" ref="O23" si="18">(J23*IF(K23="CV",735.499,IF(K23="HP",745.699872,IF(K23="BTU",0.29307107,J23))))/(IF(OR(L23="FN",  L23="FF",L23="FFN"),1,SQRT(3))*IF(P23=0,1,P23)*1000)</f>
        <v>360</v>
      </c>
      <c r="P23" s="106"/>
      <c r="Q23" s="105">
        <v>0.4</v>
      </c>
      <c r="R23" s="107"/>
      <c r="S23" s="108"/>
      <c r="T23" s="75"/>
      <c r="U23" s="109">
        <v>1</v>
      </c>
      <c r="V23" s="109" t="s">
        <v>8</v>
      </c>
      <c r="W23" s="110" t="s">
        <v>27</v>
      </c>
      <c r="X23" s="100">
        <v>7</v>
      </c>
      <c r="Y23" s="111">
        <v>3</v>
      </c>
      <c r="Z23" s="111" t="s">
        <v>168</v>
      </c>
      <c r="AA23" s="111">
        <v>1</v>
      </c>
      <c r="AB23" s="111" t="s">
        <v>37</v>
      </c>
      <c r="AC23" s="111" t="s">
        <v>37</v>
      </c>
      <c r="AD23" s="111" t="s">
        <v>113</v>
      </c>
      <c r="AE23" s="111" t="s">
        <v>54</v>
      </c>
      <c r="AF23" s="114">
        <v>0</v>
      </c>
      <c r="AG23" s="111">
        <v>0</v>
      </c>
      <c r="AH23" s="111">
        <v>0</v>
      </c>
      <c r="AI23" s="111">
        <v>0</v>
      </c>
      <c r="AJ23" s="111" t="s">
        <v>54</v>
      </c>
      <c r="AK23" s="111">
        <v>0</v>
      </c>
    </row>
    <row r="24" spans="1:37" ht="21.75" customHeight="1" x14ac:dyDescent="0.25">
      <c r="A24" s="75">
        <v>8</v>
      </c>
      <c r="B24" s="75" t="s">
        <v>36</v>
      </c>
      <c r="C24" s="100" t="s">
        <v>41</v>
      </c>
      <c r="D24" s="100" t="s">
        <v>240</v>
      </c>
      <c r="E24" s="101">
        <v>30</v>
      </c>
      <c r="F24" s="102"/>
      <c r="G24" s="103">
        <v>2</v>
      </c>
      <c r="H24" s="108" t="s">
        <v>245</v>
      </c>
      <c r="I24" s="103">
        <v>1</v>
      </c>
      <c r="J24" s="104">
        <v>500</v>
      </c>
      <c r="K24" s="104" t="s">
        <v>180</v>
      </c>
      <c r="L24" s="104" t="s">
        <v>211</v>
      </c>
      <c r="M24" s="104"/>
      <c r="N24" s="105">
        <v>1</v>
      </c>
      <c r="O24" s="104">
        <f t="shared" ref="O24" si="19">(J24*IF(K24="CV",735.499,IF(K24="HP",745.699872,IF(K24="BTU",0.29307107,J24))))/(IF(OR(L24="FN",  L24="FF",L24="FFN"),1,SQRT(3))*IF(P24=0,1,P24)*1000)</f>
        <v>250</v>
      </c>
      <c r="P24" s="106"/>
      <c r="Q24" s="105">
        <v>0.76</v>
      </c>
      <c r="R24" s="107"/>
      <c r="S24" s="108"/>
      <c r="T24" s="75"/>
      <c r="U24" s="109">
        <v>1</v>
      </c>
      <c r="V24" s="109" t="s">
        <v>8</v>
      </c>
      <c r="W24" s="110" t="s">
        <v>27</v>
      </c>
      <c r="X24" s="100">
        <v>7</v>
      </c>
      <c r="Y24" s="111">
        <v>3</v>
      </c>
      <c r="Z24" s="111" t="s">
        <v>168</v>
      </c>
      <c r="AA24" s="111">
        <v>1</v>
      </c>
      <c r="AB24" s="111" t="s">
        <v>37</v>
      </c>
      <c r="AC24" s="111" t="s">
        <v>37</v>
      </c>
      <c r="AD24" s="111" t="s">
        <v>113</v>
      </c>
      <c r="AE24" s="111" t="s">
        <v>54</v>
      </c>
      <c r="AF24" s="114">
        <v>0</v>
      </c>
      <c r="AG24" s="111">
        <v>0</v>
      </c>
      <c r="AH24" s="111">
        <v>0</v>
      </c>
      <c r="AI24" s="111">
        <v>0</v>
      </c>
      <c r="AJ24" s="111" t="s">
        <v>54</v>
      </c>
      <c r="AK24" s="111">
        <v>0</v>
      </c>
    </row>
    <row r="25" spans="1:37" ht="21.75" customHeight="1" x14ac:dyDescent="0.25">
      <c r="A25" s="75">
        <v>9</v>
      </c>
      <c r="B25" s="75" t="s">
        <v>36</v>
      </c>
      <c r="C25" s="100" t="s">
        <v>41</v>
      </c>
      <c r="D25" s="100" t="s">
        <v>241</v>
      </c>
      <c r="E25" s="101">
        <v>30</v>
      </c>
      <c r="F25" s="102"/>
      <c r="G25" s="103">
        <v>2</v>
      </c>
      <c r="H25" s="108" t="s">
        <v>243</v>
      </c>
      <c r="I25" s="103">
        <v>2</v>
      </c>
      <c r="J25" s="104">
        <v>600</v>
      </c>
      <c r="K25" s="104" t="s">
        <v>180</v>
      </c>
      <c r="L25" s="104" t="s">
        <v>211</v>
      </c>
      <c r="M25" s="104"/>
      <c r="N25" s="105">
        <v>0.8</v>
      </c>
      <c r="O25" s="104">
        <f t="shared" ref="O25" si="20">(J25*IF(K25="CV",735.499,IF(K25="HP",745.699872,IF(K25="BTU",0.29307107,J25))))/(IF(OR(L25="FN",  L25="FF",L25="FFN"),1,SQRT(3))*IF(P25=0,1,P25)*1000)</f>
        <v>360</v>
      </c>
      <c r="P25" s="106"/>
      <c r="Q25" s="105">
        <v>0.4</v>
      </c>
      <c r="R25" s="107"/>
      <c r="S25" s="108"/>
      <c r="T25" s="75"/>
      <c r="U25" s="109">
        <v>1</v>
      </c>
      <c r="V25" s="109" t="s">
        <v>8</v>
      </c>
      <c r="W25" s="110" t="s">
        <v>27</v>
      </c>
      <c r="X25" s="100">
        <v>7</v>
      </c>
      <c r="Y25" s="111">
        <v>3</v>
      </c>
      <c r="Z25" s="111" t="s">
        <v>168</v>
      </c>
      <c r="AA25" s="111">
        <v>1</v>
      </c>
      <c r="AB25" s="111" t="s">
        <v>37</v>
      </c>
      <c r="AC25" s="111" t="s">
        <v>37</v>
      </c>
      <c r="AD25" s="111" t="s">
        <v>113</v>
      </c>
      <c r="AE25" s="111" t="s">
        <v>54</v>
      </c>
      <c r="AF25" s="114">
        <v>0</v>
      </c>
      <c r="AG25" s="111">
        <v>0</v>
      </c>
      <c r="AH25" s="111">
        <v>0</v>
      </c>
      <c r="AI25" s="111">
        <v>0</v>
      </c>
      <c r="AJ25" s="111" t="s">
        <v>54</v>
      </c>
      <c r="AK25" s="111">
        <v>0</v>
      </c>
    </row>
    <row r="26" spans="1:37" ht="21.75" customHeight="1" x14ac:dyDescent="0.25">
      <c r="A26" s="75">
        <v>10</v>
      </c>
      <c r="B26" s="75" t="s">
        <v>36</v>
      </c>
      <c r="C26" s="100" t="s">
        <v>41</v>
      </c>
      <c r="D26" s="100" t="s">
        <v>241</v>
      </c>
      <c r="E26" s="101">
        <v>30</v>
      </c>
      <c r="F26" s="102"/>
      <c r="G26" s="103">
        <v>2</v>
      </c>
      <c r="H26" s="108" t="s">
        <v>245</v>
      </c>
      <c r="I26" s="103">
        <v>1</v>
      </c>
      <c r="J26" s="104">
        <v>1000</v>
      </c>
      <c r="K26" s="104" t="s">
        <v>180</v>
      </c>
      <c r="L26" s="104" t="s">
        <v>211</v>
      </c>
      <c r="M26" s="104"/>
      <c r="N26" s="105">
        <v>1</v>
      </c>
      <c r="O26" s="104">
        <f t="shared" ref="O26" si="21">(J26*IF(K26="CV",735.499,IF(K26="HP",745.699872,IF(K26="BTU",0.29307107,J26))))/(IF(OR(L26="FN",  L26="FF",L26="FFN"),1,SQRT(3))*IF(P26=0,1,P26)*1000)</f>
        <v>1000</v>
      </c>
      <c r="P26" s="106"/>
      <c r="Q26" s="105">
        <v>0.76</v>
      </c>
      <c r="R26" s="107"/>
      <c r="S26" s="108"/>
      <c r="T26" s="75"/>
      <c r="U26" s="109">
        <v>1</v>
      </c>
      <c r="V26" s="109" t="s">
        <v>8</v>
      </c>
      <c r="W26" s="110" t="s">
        <v>27</v>
      </c>
      <c r="X26" s="100">
        <v>7</v>
      </c>
      <c r="Y26" s="111">
        <v>2</v>
      </c>
      <c r="Z26" s="111" t="s">
        <v>168</v>
      </c>
      <c r="AA26" s="111">
        <v>1</v>
      </c>
      <c r="AB26" s="111" t="s">
        <v>37</v>
      </c>
      <c r="AC26" s="111" t="s">
        <v>37</v>
      </c>
      <c r="AD26" s="111" t="s">
        <v>113</v>
      </c>
      <c r="AE26" s="111" t="s">
        <v>54</v>
      </c>
      <c r="AF26" s="114">
        <v>0</v>
      </c>
      <c r="AG26" s="111">
        <v>0</v>
      </c>
      <c r="AH26" s="111">
        <v>0</v>
      </c>
      <c r="AI26" s="111">
        <v>0</v>
      </c>
      <c r="AJ26" s="111" t="s">
        <v>54</v>
      </c>
      <c r="AK26" s="111">
        <v>0</v>
      </c>
    </row>
    <row r="27" spans="1:37" ht="21.75" customHeight="1" x14ac:dyDescent="0.25">
      <c r="A27" s="75">
        <v>11</v>
      </c>
      <c r="B27" s="75" t="s">
        <v>42</v>
      </c>
      <c r="C27" s="100" t="s">
        <v>41</v>
      </c>
      <c r="D27" s="100" t="s">
        <v>244</v>
      </c>
      <c r="E27" s="101">
        <v>30</v>
      </c>
      <c r="F27" s="102"/>
      <c r="G27" s="103">
        <v>2</v>
      </c>
      <c r="H27" s="108" t="s">
        <v>245</v>
      </c>
      <c r="I27" s="103">
        <v>1</v>
      </c>
      <c r="J27" s="104">
        <v>5600</v>
      </c>
      <c r="K27" s="104" t="s">
        <v>180</v>
      </c>
      <c r="L27" s="104" t="s">
        <v>209</v>
      </c>
      <c r="M27" s="104"/>
      <c r="N27" s="105">
        <v>1</v>
      </c>
      <c r="O27" s="104">
        <f t="shared" ref="O27" si="22">(J27*IF(K27="CV",735.499,IF(K27="HP",745.699872,IF(K27="BTU",0.29307107,J27))))/(IF(OR(L27="FN",  L27="FF",L27="FFN"),1,SQRT(3))*IF(P27=0,1,P27)*1000)</f>
        <v>31360</v>
      </c>
      <c r="P27" s="106"/>
      <c r="Q27" s="105">
        <v>0.76</v>
      </c>
      <c r="R27" s="107"/>
      <c r="S27" s="108"/>
      <c r="T27" s="75"/>
      <c r="U27" s="109">
        <v>1</v>
      </c>
      <c r="V27" s="109" t="s">
        <v>8</v>
      </c>
      <c r="W27" s="110" t="s">
        <v>27</v>
      </c>
      <c r="X27" s="100">
        <v>7</v>
      </c>
      <c r="Y27" s="111">
        <v>1</v>
      </c>
      <c r="Z27" s="111" t="s">
        <v>168</v>
      </c>
      <c r="AA27" s="111">
        <v>1</v>
      </c>
      <c r="AB27" s="111" t="s">
        <v>37</v>
      </c>
      <c r="AC27" s="111" t="s">
        <v>37</v>
      </c>
      <c r="AD27" s="111" t="s">
        <v>113</v>
      </c>
      <c r="AE27" s="111" t="s">
        <v>54</v>
      </c>
      <c r="AF27" s="114">
        <v>0</v>
      </c>
      <c r="AG27" s="111">
        <v>0</v>
      </c>
      <c r="AH27" s="111">
        <v>0</v>
      </c>
      <c r="AI27" s="111">
        <v>0</v>
      </c>
      <c r="AJ27" s="111" t="s">
        <v>54</v>
      </c>
      <c r="AK27" s="111">
        <v>0</v>
      </c>
    </row>
    <row r="28" spans="1:37" ht="21.75" customHeight="1" x14ac:dyDescent="0.25">
      <c r="A28" s="75">
        <v>12</v>
      </c>
      <c r="B28" s="75" t="s">
        <v>42</v>
      </c>
      <c r="C28" s="100" t="s">
        <v>41</v>
      </c>
      <c r="D28" s="100" t="s">
        <v>246</v>
      </c>
      <c r="E28" s="101">
        <v>30</v>
      </c>
      <c r="F28" s="102"/>
      <c r="G28" s="103">
        <v>2</v>
      </c>
      <c r="H28" s="108" t="s">
        <v>245</v>
      </c>
      <c r="I28" s="103">
        <v>1</v>
      </c>
      <c r="J28" s="104">
        <v>5000</v>
      </c>
      <c r="K28" s="104" t="s">
        <v>180</v>
      </c>
      <c r="L28" s="104" t="s">
        <v>209</v>
      </c>
      <c r="M28" s="104"/>
      <c r="N28" s="105">
        <v>1</v>
      </c>
      <c r="O28" s="104">
        <f t="shared" ref="O28" si="23">(J28*IF(K28="CV",735.499,IF(K28="HP",745.699872,IF(K28="BTU",0.29307107,J28))))/(IF(OR(L28="FN",  L28="FF",L28="FFN"),1,SQRT(3))*IF(P28=0,1,P28)*1000)</f>
        <v>25000</v>
      </c>
      <c r="P28" s="106"/>
      <c r="Q28" s="105">
        <v>0.76</v>
      </c>
      <c r="R28" s="107"/>
      <c r="S28" s="108"/>
      <c r="T28" s="75"/>
      <c r="U28" s="109">
        <v>1</v>
      </c>
      <c r="V28" s="109" t="s">
        <v>8</v>
      </c>
      <c r="W28" s="110" t="s">
        <v>27</v>
      </c>
      <c r="X28" s="100">
        <v>7</v>
      </c>
      <c r="Y28" s="111">
        <v>3</v>
      </c>
      <c r="Z28" s="111" t="s">
        <v>168</v>
      </c>
      <c r="AA28" s="111">
        <v>1</v>
      </c>
      <c r="AB28" s="111" t="s">
        <v>37</v>
      </c>
      <c r="AC28" s="111" t="s">
        <v>37</v>
      </c>
      <c r="AD28" s="111" t="s">
        <v>113</v>
      </c>
      <c r="AE28" s="111" t="s">
        <v>54</v>
      </c>
      <c r="AF28" s="114">
        <v>0</v>
      </c>
      <c r="AG28" s="111">
        <v>0</v>
      </c>
      <c r="AH28" s="111">
        <v>0</v>
      </c>
      <c r="AI28" s="111">
        <v>0</v>
      </c>
      <c r="AJ28" s="111" t="s">
        <v>54</v>
      </c>
      <c r="AK28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Listas!$H$2:$H$3</xm:f>
          </x14:formula1>
          <xm:sqref>F2 W4:W28</xm:sqref>
        </x14:dataValidation>
        <x14:dataValidation type="list" allowBlank="1" showInputMessage="1" showErrorMessage="1">
          <x14:formula1>
            <xm:f>Listas!$I$2:$I$3</xm:f>
          </x14:formula1>
          <xm:sqref>G2 V4:V28</xm:sqref>
        </x14:dataValidation>
        <x14:dataValidation type="list" allowBlank="1" showInputMessage="1" showErrorMessage="1">
          <x14:formula1>
            <xm:f>Listas!$J$2:$J$3</xm:f>
          </x14:formula1>
          <xm:sqref>I2 Q2 T2 AJ4:AJ28 AB4:AB28 AE4:AE28</xm:sqref>
        </x14:dataValidation>
        <x14:dataValidation type="list" allowBlank="1" showInputMessage="1" showErrorMessage="1">
          <x14:formula1>
            <xm:f>Listas!$F$2:$F$60</xm:f>
          </x14:formula1>
          <xm:sqref>E2 X4:X28</xm:sqref>
        </x14:dataValidation>
        <x14:dataValidation type="list" allowBlank="1" showInputMessage="1" showErrorMessage="1">
          <x14:formula1>
            <xm:f>Listas!$M$2:$M$4</xm:f>
          </x14:formula1>
          <xm:sqref>R2 AC4:AC28</xm:sqref>
        </x14:dataValidation>
        <x14:dataValidation type="list" allowBlank="1" showInputMessage="1" showErrorMessage="1">
          <x14:formula1>
            <xm:f>Listas!$N$2:$N$7</xm:f>
          </x14:formula1>
          <xm:sqref>S2 AD4:AD28</xm:sqref>
        </x14:dataValidation>
        <x14:dataValidation type="list" allowBlank="1" showInputMessage="1" showErrorMessage="1">
          <x14:formula1>
            <xm:f>Listas!$L$2:$L$9</xm:f>
          </x14:formula1>
          <xm:sqref>O2 Z4:Z28</xm:sqref>
        </x14:dataValidation>
        <x14:dataValidation type="list" allowBlank="1" showInputMessage="1" showErrorMessage="1">
          <x14:formula1>
            <xm:f>Listas!$D$2:$D$4</xm:f>
          </x14:formula1>
          <xm:sqref>D2 B4:B28</xm:sqref>
        </x14:dataValidation>
        <x14:dataValidation type="list" allowBlank="1" showInputMessage="1" showErrorMessage="1">
          <x14:formula1>
            <xm:f>Listas!$A$2:$A$7</xm:f>
          </x14:formula1>
          <xm:sqref>L4:L28</xm:sqref>
        </x14:dataValidation>
        <x14:dataValidation type="list" allowBlank="1" showInputMessage="1" showErrorMessage="1">
          <x14:formula1>
            <xm:f>Listas!$E$2:$E$3</xm:f>
          </x14:formula1>
          <xm:sqref>G4:G28</xm:sqref>
        </x14:dataValidation>
        <x14:dataValidation type="list" allowBlank="1" showInputMessage="1" showErrorMessage="1">
          <x14:formula1>
            <xm:f>Listas!$C$2:$C$9</xm:f>
          </x14:formula1>
          <xm:sqref>C4:C28</xm:sqref>
        </x14:dataValidation>
        <x14:dataValidation type="list" allowBlank="1" showInputMessage="1" showErrorMessage="1">
          <x14:formula1>
            <xm:f>Listas!$P$2:$P$6</xm:f>
          </x14:formula1>
          <xm:sqref>K4:K28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:AL3"/>
  <sheetViews>
    <sheetView workbookViewId="0">
      <selection activeCell="J2" sqref="J2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9.5703125" customWidth="1"/>
    <col min="18" max="18" width="12.5703125" customWidth="1"/>
    <col min="22" max="22" width="10.285156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QG</v>
      </c>
      <c r="B2" s="93" t="s">
        <v>192</v>
      </c>
      <c r="C2" s="93">
        <v>8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1</v>
      </c>
      <c r="I2" s="94" t="s">
        <v>37</v>
      </c>
      <c r="J2" s="96">
        <v>30</v>
      </c>
      <c r="K2" s="95">
        <v>0.8</v>
      </c>
      <c r="L2" s="95">
        <v>0</v>
      </c>
      <c r="M2" s="95">
        <v>0</v>
      </c>
      <c r="N2" s="95">
        <v>1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Listas!$D$2:$D$4</xm:f>
          </x14:formula1>
          <xm:sqref>D2</xm:sqref>
        </x14:dataValidation>
        <x14:dataValidation type="list" allowBlank="1" showInputMessage="1" showErrorMessage="1">
          <x14:formula1>
            <xm:f>Listas!$L$2:$L$9</xm:f>
          </x14:formula1>
          <xm:sqref>O2</xm:sqref>
        </x14:dataValidation>
        <x14:dataValidation type="list" allowBlank="1" showInputMessage="1" showErrorMessage="1">
          <x14:formula1>
            <xm:f>Listas!$N$2:$N$7</xm:f>
          </x14:formula1>
          <xm:sqref>S2</xm:sqref>
        </x14:dataValidation>
        <x14:dataValidation type="list" allowBlank="1" showInputMessage="1" showErrorMessage="1">
          <x14:formula1>
            <xm:f>Listas!$M$2:$M$4</xm:f>
          </x14:formula1>
          <xm:sqref>R2</xm:sqref>
        </x14:dataValidation>
        <x14:dataValidation type="list" allowBlank="1" showInputMessage="1" showErrorMessage="1">
          <x14:formula1>
            <xm:f>Listas!$F$2:$F$60</xm:f>
          </x14:formula1>
          <xm:sqref>E2</xm:sqref>
        </x14:dataValidation>
        <x14:dataValidation type="list" allowBlank="1" showInputMessage="1" showErrorMessage="1">
          <x14:formula1>
            <xm:f>Listas!$J$2:$J$3</xm:f>
          </x14:formula1>
          <xm:sqref>I2 Q2 T2</xm:sqref>
        </x14:dataValidation>
        <x14:dataValidation type="list" allowBlank="1" showInputMessage="1" showErrorMessage="1">
          <x14:formula1>
            <xm:f>Listas!$I$2:$I$3</xm:f>
          </x14:formula1>
          <xm:sqref>G2</xm:sqref>
        </x14:dataValidation>
        <x14:dataValidation type="list" allowBlank="1" showInputMessage="1" showErrorMessage="1">
          <x14:formula1>
            <xm:f>Listas!$H$2:$H$3</xm:f>
          </x14:formula1>
          <xm:sqref>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:AL9"/>
  <sheetViews>
    <sheetView workbookViewId="0">
      <selection activeCell="A4" sqref="A4:XFD4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9.5703125" customWidth="1"/>
    <col min="18" max="18" width="12.5703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ex111</v>
      </c>
      <c r="B2" s="93" t="s">
        <v>192</v>
      </c>
      <c r="C2" s="93">
        <v>15</v>
      </c>
      <c r="D2" s="93" t="s">
        <v>42</v>
      </c>
      <c r="E2" s="94" t="s">
        <v>154</v>
      </c>
      <c r="F2" s="94" t="s">
        <v>27</v>
      </c>
      <c r="G2" s="95" t="s">
        <v>8</v>
      </c>
      <c r="H2" s="95">
        <v>3</v>
      </c>
      <c r="I2" s="94" t="s">
        <v>37</v>
      </c>
      <c r="J2" s="96">
        <v>30</v>
      </c>
      <c r="K2" s="95">
        <v>0.8</v>
      </c>
      <c r="L2" s="95">
        <v>0</v>
      </c>
      <c r="M2" s="95">
        <v>0</v>
      </c>
      <c r="N2" s="95">
        <v>1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36</v>
      </c>
      <c r="C4" s="100" t="s">
        <v>41</v>
      </c>
      <c r="D4" s="100" t="s">
        <v>224</v>
      </c>
      <c r="E4" s="101">
        <v>30</v>
      </c>
      <c r="F4" s="102">
        <v>5</v>
      </c>
      <c r="G4" s="103">
        <v>2</v>
      </c>
      <c r="H4" s="108" t="s">
        <v>226</v>
      </c>
      <c r="I4" s="103">
        <v>1</v>
      </c>
      <c r="J4" s="104">
        <v>200</v>
      </c>
      <c r="K4" s="104" t="s">
        <v>107</v>
      </c>
      <c r="L4" s="104" t="s">
        <v>211</v>
      </c>
      <c r="M4" s="104"/>
      <c r="N4" s="105">
        <v>1</v>
      </c>
      <c r="O4" s="104">
        <f t="shared" ref="O4" si="0">(J4*IF(K4="CV",735.499,IF(K4="HP",745.699872,IF(K4="BTU",0.29307107,J4))))/(IF(OR(L4="FN",  L4="FF",L4="FFN"),1,SQRT(3))*IF(P4=0,1,P4)*1000)</f>
        <v>40</v>
      </c>
      <c r="P4" s="106"/>
      <c r="Q4" s="107"/>
      <c r="R4" s="107"/>
      <c r="S4" s="108"/>
      <c r="T4" s="75"/>
      <c r="U4" s="109">
        <v>2</v>
      </c>
      <c r="V4" s="109" t="s">
        <v>8</v>
      </c>
      <c r="W4" s="110" t="s">
        <v>27</v>
      </c>
      <c r="X4" s="100">
        <v>7</v>
      </c>
      <c r="Y4" s="111">
        <v>3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  <row r="5" spans="1:38" ht="21.75" customHeight="1" x14ac:dyDescent="0.25">
      <c r="A5" s="75">
        <v>1</v>
      </c>
      <c r="B5" s="75" t="s">
        <v>36</v>
      </c>
      <c r="C5" s="100" t="s">
        <v>41</v>
      </c>
      <c r="D5" s="100" t="s">
        <v>224</v>
      </c>
      <c r="E5" s="101">
        <v>30</v>
      </c>
      <c r="F5" s="102">
        <v>10</v>
      </c>
      <c r="G5" s="103">
        <v>2</v>
      </c>
      <c r="H5" s="108" t="s">
        <v>227</v>
      </c>
      <c r="I5" s="103">
        <v>1</v>
      </c>
      <c r="J5" s="104">
        <v>200</v>
      </c>
      <c r="K5" s="104" t="s">
        <v>107</v>
      </c>
      <c r="L5" s="104" t="s">
        <v>211</v>
      </c>
      <c r="M5" s="104"/>
      <c r="N5" s="105">
        <v>1</v>
      </c>
      <c r="O5" s="104">
        <f t="shared" ref="O5" si="1">(J5*IF(K5="CV",735.499,IF(K5="HP",745.699872,IF(K5="BTU",0.29307107,J5))))/(IF(OR(L5="FN",  L5="FF",L5="FFN"),1,SQRT(3))*IF(P5=0,1,P5)*1000)</f>
        <v>40</v>
      </c>
      <c r="P5" s="106"/>
      <c r="Q5" s="107"/>
      <c r="R5" s="107"/>
      <c r="S5" s="108"/>
      <c r="T5" s="75"/>
      <c r="U5" s="109">
        <v>2</v>
      </c>
      <c r="V5" s="109" t="s">
        <v>8</v>
      </c>
      <c r="W5" s="110" t="s">
        <v>27</v>
      </c>
      <c r="X5" s="100">
        <v>7</v>
      </c>
      <c r="Y5" s="111">
        <v>3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37</v>
      </c>
      <c r="AK5" s="111">
        <v>0</v>
      </c>
    </row>
    <row r="6" spans="1:38" ht="21.75" customHeight="1" x14ac:dyDescent="0.25">
      <c r="A6" s="75">
        <v>1</v>
      </c>
      <c r="B6" s="75" t="s">
        <v>36</v>
      </c>
      <c r="C6" s="100" t="s">
        <v>41</v>
      </c>
      <c r="D6" s="100" t="s">
        <v>224</v>
      </c>
      <c r="E6" s="101">
        <v>30</v>
      </c>
      <c r="F6" s="102">
        <v>15</v>
      </c>
      <c r="G6" s="103">
        <v>2</v>
      </c>
      <c r="H6" s="108" t="s">
        <v>228</v>
      </c>
      <c r="I6" s="103">
        <v>1</v>
      </c>
      <c r="J6" s="104">
        <v>200</v>
      </c>
      <c r="K6" s="104" t="s">
        <v>107</v>
      </c>
      <c r="L6" s="104" t="s">
        <v>211</v>
      </c>
      <c r="M6" s="104"/>
      <c r="N6" s="105">
        <v>1</v>
      </c>
      <c r="O6" s="104">
        <f t="shared" ref="O6" si="2">(J6*IF(K6="CV",735.499,IF(K6="HP",745.699872,IF(K6="BTU",0.29307107,J6))))/(IF(OR(L6="FN",  L6="FF",L6="FFN"),1,SQRT(3))*IF(P6=0,1,P6)*1000)</f>
        <v>40</v>
      </c>
      <c r="P6" s="106"/>
      <c r="Q6" s="107"/>
      <c r="R6" s="107"/>
      <c r="S6" s="108"/>
      <c r="T6" s="75"/>
      <c r="U6" s="109">
        <v>2</v>
      </c>
      <c r="V6" s="109" t="s">
        <v>8</v>
      </c>
      <c r="W6" s="110" t="s">
        <v>27</v>
      </c>
      <c r="X6" s="100">
        <v>7</v>
      </c>
      <c r="Y6" s="111">
        <v>3</v>
      </c>
      <c r="Z6" s="111" t="s">
        <v>168</v>
      </c>
      <c r="AA6" s="111">
        <v>1</v>
      </c>
      <c r="AB6" s="111" t="s">
        <v>37</v>
      </c>
      <c r="AC6" s="111" t="s">
        <v>37</v>
      </c>
      <c r="AD6" s="111" t="s">
        <v>113</v>
      </c>
      <c r="AE6" s="111" t="s">
        <v>54</v>
      </c>
      <c r="AF6" s="114">
        <v>0</v>
      </c>
      <c r="AG6" s="111">
        <v>0</v>
      </c>
      <c r="AH6" s="111">
        <v>0</v>
      </c>
      <c r="AI6" s="111">
        <v>0</v>
      </c>
      <c r="AJ6" s="111" t="s">
        <v>37</v>
      </c>
      <c r="AK6" s="111">
        <v>0</v>
      </c>
    </row>
    <row r="7" spans="1:38" ht="21.75" customHeight="1" x14ac:dyDescent="0.25">
      <c r="A7" s="75">
        <v>1</v>
      </c>
      <c r="B7" s="75" t="s">
        <v>36</v>
      </c>
      <c r="C7" s="100" t="s">
        <v>41</v>
      </c>
      <c r="D7" s="100" t="s">
        <v>224</v>
      </c>
      <c r="E7" s="101">
        <v>30</v>
      </c>
      <c r="F7" s="102">
        <v>3</v>
      </c>
      <c r="G7" s="103">
        <v>2</v>
      </c>
      <c r="H7" s="108" t="s">
        <v>229</v>
      </c>
      <c r="I7" s="103">
        <v>1</v>
      </c>
      <c r="J7" s="104">
        <v>200</v>
      </c>
      <c r="K7" s="104" t="s">
        <v>107</v>
      </c>
      <c r="L7" s="104" t="s">
        <v>211</v>
      </c>
      <c r="M7" s="104"/>
      <c r="N7" s="105">
        <v>1</v>
      </c>
      <c r="O7" s="104">
        <f t="shared" ref="O7" si="3">(J7*IF(K7="CV",735.499,IF(K7="HP",745.699872,IF(K7="BTU",0.29307107,J7))))/(IF(OR(L7="FN",  L7="FF",L7="FFN"),1,SQRT(3))*IF(P7=0,1,P7)*1000)</f>
        <v>40</v>
      </c>
      <c r="P7" s="106"/>
      <c r="Q7" s="107"/>
      <c r="R7" s="107"/>
      <c r="S7" s="108"/>
      <c r="T7" s="75"/>
      <c r="U7" s="109">
        <v>2</v>
      </c>
      <c r="V7" s="109" t="s">
        <v>8</v>
      </c>
      <c r="W7" s="110" t="s">
        <v>27</v>
      </c>
      <c r="X7" s="100">
        <v>7</v>
      </c>
      <c r="Y7" s="111">
        <v>3</v>
      </c>
      <c r="Z7" s="111" t="s">
        <v>168</v>
      </c>
      <c r="AA7" s="111">
        <v>1</v>
      </c>
      <c r="AB7" s="111" t="s">
        <v>37</v>
      </c>
      <c r="AC7" s="111" t="s">
        <v>37</v>
      </c>
      <c r="AD7" s="111" t="s">
        <v>113</v>
      </c>
      <c r="AE7" s="111" t="s">
        <v>54</v>
      </c>
      <c r="AF7" s="114">
        <v>0</v>
      </c>
      <c r="AG7" s="111">
        <v>0</v>
      </c>
      <c r="AH7" s="111">
        <v>0</v>
      </c>
      <c r="AI7" s="111">
        <v>0</v>
      </c>
      <c r="AJ7" s="111" t="s">
        <v>37</v>
      </c>
      <c r="AK7" s="111">
        <v>0</v>
      </c>
    </row>
    <row r="8" spans="1:38" ht="21.75" customHeight="1" x14ac:dyDescent="0.25">
      <c r="A8" s="75">
        <v>1</v>
      </c>
      <c r="B8" s="75" t="s">
        <v>36</v>
      </c>
      <c r="C8" s="100" t="s">
        <v>41</v>
      </c>
      <c r="D8" s="100" t="s">
        <v>224</v>
      </c>
      <c r="E8" s="101">
        <v>30</v>
      </c>
      <c r="F8" s="102">
        <v>7</v>
      </c>
      <c r="G8" s="103">
        <v>2</v>
      </c>
      <c r="H8" s="108" t="s">
        <v>230</v>
      </c>
      <c r="I8" s="103">
        <v>1</v>
      </c>
      <c r="J8" s="104">
        <v>200</v>
      </c>
      <c r="K8" s="104" t="s">
        <v>107</v>
      </c>
      <c r="L8" s="104" t="s">
        <v>211</v>
      </c>
      <c r="M8" s="104"/>
      <c r="N8" s="105">
        <v>1</v>
      </c>
      <c r="O8" s="104">
        <f t="shared" ref="O8" si="4">(J8*IF(K8="CV",735.499,IF(K8="HP",745.699872,IF(K8="BTU",0.29307107,J8))))/(IF(OR(L8="FN",  L8="FF",L8="FFN"),1,SQRT(3))*IF(P8=0,1,P8)*1000)</f>
        <v>40</v>
      </c>
      <c r="P8" s="106"/>
      <c r="Q8" s="107"/>
      <c r="R8" s="107"/>
      <c r="S8" s="108"/>
      <c r="T8" s="75"/>
      <c r="U8" s="109">
        <v>2</v>
      </c>
      <c r="V8" s="109" t="s">
        <v>8</v>
      </c>
      <c r="W8" s="110" t="s">
        <v>27</v>
      </c>
      <c r="X8" s="100">
        <v>7</v>
      </c>
      <c r="Y8" s="111">
        <v>3</v>
      </c>
      <c r="Z8" s="111" t="s">
        <v>168</v>
      </c>
      <c r="AA8" s="111">
        <v>1</v>
      </c>
      <c r="AB8" s="111" t="s">
        <v>37</v>
      </c>
      <c r="AC8" s="111" t="s">
        <v>37</v>
      </c>
      <c r="AD8" s="111" t="s">
        <v>113</v>
      </c>
      <c r="AE8" s="111" t="s">
        <v>54</v>
      </c>
      <c r="AF8" s="114">
        <v>0</v>
      </c>
      <c r="AG8" s="111">
        <v>0</v>
      </c>
      <c r="AH8" s="111">
        <v>0</v>
      </c>
      <c r="AI8" s="111">
        <v>0</v>
      </c>
      <c r="AJ8" s="111" t="s">
        <v>37</v>
      </c>
      <c r="AK8" s="111">
        <v>0</v>
      </c>
    </row>
    <row r="9" spans="1:38" ht="21.75" customHeight="1" x14ac:dyDescent="0.25">
      <c r="A9" s="75">
        <v>1</v>
      </c>
      <c r="B9" s="75" t="s">
        <v>36</v>
      </c>
      <c r="C9" s="100" t="s">
        <v>41</v>
      </c>
      <c r="D9" s="100" t="s">
        <v>224</v>
      </c>
      <c r="E9" s="101">
        <v>30</v>
      </c>
      <c r="F9" s="102">
        <v>7</v>
      </c>
      <c r="G9" s="103">
        <v>2</v>
      </c>
      <c r="H9" s="108" t="s">
        <v>231</v>
      </c>
      <c r="I9" s="103">
        <v>1</v>
      </c>
      <c r="J9" s="104">
        <v>200</v>
      </c>
      <c r="K9" s="104" t="s">
        <v>107</v>
      </c>
      <c r="L9" s="104" t="s">
        <v>211</v>
      </c>
      <c r="M9" s="104"/>
      <c r="N9" s="105">
        <v>1</v>
      </c>
      <c r="O9" s="104">
        <f t="shared" ref="O9" si="5">(J9*IF(K9="CV",735.499,IF(K9="HP",745.699872,IF(K9="BTU",0.29307107,J9))))/(IF(OR(L9="FN",  L9="FF",L9="FFN"),1,SQRT(3))*IF(P9=0,1,P9)*1000)</f>
        <v>40</v>
      </c>
      <c r="P9" s="106"/>
      <c r="Q9" s="107"/>
      <c r="R9" s="107"/>
      <c r="S9" s="108"/>
      <c r="T9" s="75"/>
      <c r="U9" s="109">
        <v>2</v>
      </c>
      <c r="V9" s="109" t="s">
        <v>8</v>
      </c>
      <c r="W9" s="110" t="s">
        <v>27</v>
      </c>
      <c r="X9" s="100">
        <v>7</v>
      </c>
      <c r="Y9" s="111">
        <v>3</v>
      </c>
      <c r="Z9" s="111" t="s">
        <v>168</v>
      </c>
      <c r="AA9" s="111">
        <v>1</v>
      </c>
      <c r="AB9" s="111" t="s">
        <v>37</v>
      </c>
      <c r="AC9" s="111" t="s">
        <v>37</v>
      </c>
      <c r="AD9" s="111" t="s">
        <v>113</v>
      </c>
      <c r="AE9" s="111" t="s">
        <v>54</v>
      </c>
      <c r="AF9" s="114">
        <v>0</v>
      </c>
      <c r="AG9" s="111">
        <v>0</v>
      </c>
      <c r="AH9" s="111">
        <v>0</v>
      </c>
      <c r="AI9" s="111">
        <v>0</v>
      </c>
      <c r="AJ9" s="111" t="s">
        <v>37</v>
      </c>
      <c r="AK9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Listas!$P$2:$P$6</xm:f>
          </x14:formula1>
          <xm:sqref>K4:K9</xm:sqref>
        </x14:dataValidation>
        <x14:dataValidation type="list" allowBlank="1" showInputMessage="1" showErrorMessage="1">
          <x14:formula1>
            <xm:f>Listas!$C$2:$C$9</xm:f>
          </x14:formula1>
          <xm:sqref>C4:C9</xm:sqref>
        </x14:dataValidation>
        <x14:dataValidation type="list" allowBlank="1" showInputMessage="1" showErrorMessage="1">
          <x14:formula1>
            <xm:f>Listas!$H$2:$H$3</xm:f>
          </x14:formula1>
          <xm:sqref>F2 W4:W9</xm:sqref>
        </x14:dataValidation>
        <x14:dataValidation type="list" allowBlank="1" showInputMessage="1" showErrorMessage="1">
          <x14:formula1>
            <xm:f>Listas!$I$2:$I$3</xm:f>
          </x14:formula1>
          <xm:sqref>G2 V4:V9</xm:sqref>
        </x14:dataValidation>
        <x14:dataValidation type="list" allowBlank="1" showInputMessage="1" showErrorMessage="1">
          <x14:formula1>
            <xm:f>Listas!$J$2:$J$3</xm:f>
          </x14:formula1>
          <xm:sqref>I2 AJ4:AJ9 AB4:AB9 Q2 T2 AE4:AE9</xm:sqref>
        </x14:dataValidation>
        <x14:dataValidation type="list" allowBlank="1" showInputMessage="1" showErrorMessage="1">
          <x14:formula1>
            <xm:f>Listas!$E$2:$E$3</xm:f>
          </x14:formula1>
          <xm:sqref>G4:G9</xm:sqref>
        </x14:dataValidation>
        <x14:dataValidation type="list" allowBlank="1" showInputMessage="1" showErrorMessage="1">
          <x14:formula1>
            <xm:f>Listas!$F$2:$F$60</xm:f>
          </x14:formula1>
          <xm:sqref>E2 X4:X9</xm:sqref>
        </x14:dataValidation>
        <x14:dataValidation type="list" allowBlank="1" showInputMessage="1" showErrorMessage="1">
          <x14:formula1>
            <xm:f>Listas!$M$2:$M$4</xm:f>
          </x14:formula1>
          <xm:sqref>R2 AC4:AC9</xm:sqref>
        </x14:dataValidation>
        <x14:dataValidation type="list" allowBlank="1" showInputMessage="1" showErrorMessage="1">
          <x14:formula1>
            <xm:f>Listas!$N$2:$N$7</xm:f>
          </x14:formula1>
          <xm:sqref>S2 AD4:AD9</xm:sqref>
        </x14:dataValidation>
        <x14:dataValidation type="list" allowBlank="1" showInputMessage="1" showErrorMessage="1">
          <x14:formula1>
            <xm:f>Listas!$L$2:$L$9</xm:f>
          </x14:formula1>
          <xm:sqref>O2 Z4:Z9</xm:sqref>
        </x14:dataValidation>
        <x14:dataValidation type="list" allowBlank="1" showInputMessage="1" showErrorMessage="1">
          <x14:formula1>
            <xm:f>Listas!$A$2:$A$7</xm:f>
          </x14:formula1>
          <xm:sqref>L4:L9</xm:sqref>
        </x14:dataValidation>
        <x14:dataValidation type="list" allowBlank="1" showInputMessage="1" showErrorMessage="1">
          <x14:formula1>
            <xm:f>Listas!$D$2:$D$4</xm:f>
          </x14:formula1>
          <xm:sqref>D2 B4:B9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:AL4"/>
  <sheetViews>
    <sheetView workbookViewId="0">
      <selection activeCell="V1" sqref="V1:V2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9.5703125" customWidth="1"/>
    <col min="18" max="18" width="12.5703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ex109</v>
      </c>
      <c r="B2" s="93" t="s">
        <v>192</v>
      </c>
      <c r="C2" s="93">
        <v>15</v>
      </c>
      <c r="D2" s="93" t="s">
        <v>42</v>
      </c>
      <c r="E2" s="94" t="s">
        <v>154</v>
      </c>
      <c r="F2" s="94" t="s">
        <v>27</v>
      </c>
      <c r="G2" s="95" t="s">
        <v>8</v>
      </c>
      <c r="H2" s="95">
        <v>3</v>
      </c>
      <c r="I2" s="94" t="s">
        <v>37</v>
      </c>
      <c r="J2" s="96">
        <v>30</v>
      </c>
      <c r="K2" s="95">
        <v>0.8</v>
      </c>
      <c r="L2" s="95">
        <v>0</v>
      </c>
      <c r="M2" s="95">
        <v>0</v>
      </c>
      <c r="N2" s="95">
        <v>1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42</v>
      </c>
      <c r="C4" s="100" t="s">
        <v>56</v>
      </c>
      <c r="D4" s="100" t="s">
        <v>224</v>
      </c>
      <c r="E4" s="101">
        <v>35</v>
      </c>
      <c r="F4" s="102">
        <v>10</v>
      </c>
      <c r="G4" s="103">
        <v>4</v>
      </c>
      <c r="H4" s="108" t="s">
        <v>225</v>
      </c>
      <c r="I4" s="103">
        <v>1</v>
      </c>
      <c r="J4" s="104">
        <v>3500</v>
      </c>
      <c r="K4" s="104" t="s">
        <v>107</v>
      </c>
      <c r="L4" s="104" t="s">
        <v>209</v>
      </c>
      <c r="M4" s="104"/>
      <c r="N4" s="105">
        <v>1</v>
      </c>
      <c r="O4" s="104">
        <f t="shared" ref="O4" si="0">(J4*IF(K4="CV",735.499,IF(K4="HP",745.699872,IF(K4="BTU",0.29307107,J4))))/(IF(OR(L4="FN",  L4="FF",L4="FFN"),1,SQRT(3))*IF(P4=0,1,P4)*1000)</f>
        <v>12250</v>
      </c>
      <c r="P4" s="106"/>
      <c r="Q4" s="107"/>
      <c r="R4" s="107"/>
      <c r="S4" s="108"/>
      <c r="T4" s="75"/>
      <c r="U4" s="109">
        <v>2</v>
      </c>
      <c r="V4" s="109" t="s">
        <v>8</v>
      </c>
      <c r="W4" s="110" t="s">
        <v>27</v>
      </c>
      <c r="X4" s="100">
        <v>7</v>
      </c>
      <c r="Y4" s="111">
        <v>2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Listas!$D$2:$D$4</xm:f>
          </x14:formula1>
          <xm:sqref>D2 B4</xm:sqref>
        </x14:dataValidation>
        <x14:dataValidation type="list" allowBlank="1" showInputMessage="1" showErrorMessage="1">
          <x14:formula1>
            <xm:f>Listas!$A$2:$A$7</xm:f>
          </x14:formula1>
          <xm:sqref>L4</xm:sqref>
        </x14:dataValidation>
        <x14:dataValidation type="list" allowBlank="1" showInputMessage="1" showErrorMessage="1">
          <x14:formula1>
            <xm:f>Listas!$L$2:$L$9</xm:f>
          </x14:formula1>
          <xm:sqref>O2 Z4</xm:sqref>
        </x14:dataValidation>
        <x14:dataValidation type="list" allowBlank="1" showInputMessage="1" showErrorMessage="1">
          <x14:formula1>
            <xm:f>Listas!$N$2:$N$7</xm:f>
          </x14:formula1>
          <xm:sqref>S2 AD4</xm:sqref>
        </x14:dataValidation>
        <x14:dataValidation type="list" allowBlank="1" showInputMessage="1" showErrorMessage="1">
          <x14:formula1>
            <xm:f>Listas!$M$2:$M$4</xm:f>
          </x14:formula1>
          <xm:sqref>R2 AC4</xm:sqref>
        </x14:dataValidation>
        <x14:dataValidation type="list" allowBlank="1" showInputMessage="1" showErrorMessage="1">
          <x14:formula1>
            <xm:f>Listas!$F$2:$F$60</xm:f>
          </x14:formula1>
          <xm:sqref>E2 X4</xm:sqref>
        </x14:dataValidation>
        <x14:dataValidation type="list" allowBlank="1" showInputMessage="1" showErrorMessage="1">
          <x14:formula1>
            <xm:f>Listas!$E$2:$E$3</xm:f>
          </x14:formula1>
          <xm:sqref>G4</xm:sqref>
        </x14:dataValidation>
        <x14:dataValidation type="list" allowBlank="1" showInputMessage="1" showErrorMessage="1">
          <x14:formula1>
            <xm:f>Listas!$J$2:$J$3</xm:f>
          </x14:formula1>
          <xm:sqref>I2 AJ4 AB4 Q2 T2 AE4</xm:sqref>
        </x14:dataValidation>
        <x14:dataValidation type="list" allowBlank="1" showInputMessage="1" showErrorMessage="1">
          <x14:formula1>
            <xm:f>Listas!$I$2:$I$3</xm:f>
          </x14:formula1>
          <xm:sqref>G2 V4</xm:sqref>
        </x14:dataValidation>
        <x14:dataValidation type="list" allowBlank="1" showInputMessage="1" showErrorMessage="1">
          <x14:formula1>
            <xm:f>Listas!$H$2:$H$3</xm:f>
          </x14:formula1>
          <xm:sqref>F2 W4</xm:sqref>
        </x14:dataValidation>
        <x14:dataValidation type="list" allowBlank="1" showInputMessage="1" showErrorMessage="1">
          <x14:formula1>
            <xm:f>Listas!$C$2:$C$9</xm:f>
          </x14:formula1>
          <xm:sqref>C4</xm:sqref>
        </x14:dataValidation>
        <x14:dataValidation type="list" allowBlank="1" showInputMessage="1" showErrorMessage="1">
          <x14:formula1>
            <xm:f>Listas!$P$2:$P$6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:AL6"/>
  <sheetViews>
    <sheetView tabSelected="1" workbookViewId="0">
      <selection activeCell="D10" sqref="D10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9.5703125" customWidth="1"/>
    <col min="18" max="18" width="12.5703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QDL2</v>
      </c>
      <c r="B2" s="93" t="s">
        <v>192</v>
      </c>
      <c r="C2" s="93">
        <v>15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0.8</v>
      </c>
      <c r="L2" s="95">
        <v>0</v>
      </c>
      <c r="M2" s="95">
        <v>0</v>
      </c>
      <c r="N2" s="95">
        <v>1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38</v>
      </c>
      <c r="C4" s="100" t="s">
        <v>39</v>
      </c>
      <c r="D4" s="100" t="s">
        <v>224</v>
      </c>
      <c r="E4" s="101">
        <v>30</v>
      </c>
      <c r="F4" s="102">
        <v>1</v>
      </c>
      <c r="G4" s="103">
        <v>4</v>
      </c>
      <c r="H4" s="108" t="s">
        <v>39</v>
      </c>
      <c r="I4" s="103">
        <v>1</v>
      </c>
      <c r="J4" s="104">
        <v>17300</v>
      </c>
      <c r="K4" s="104" t="s">
        <v>107</v>
      </c>
      <c r="L4" s="104" t="s">
        <v>211</v>
      </c>
      <c r="M4" s="104"/>
      <c r="N4" s="105">
        <v>0.8</v>
      </c>
      <c r="O4" s="104">
        <f t="shared" ref="O4:O6" si="0">(J4*IF(K4="CV",735.499,IF(K4="HP",745.699872,IF(K4="BTU",0.29307107,J4))))/(IF(OR(L4="FN",  L4="FF",L4="FFN"),1,SQRT(3))*IF(P4=0,1,P4)*1000)</f>
        <v>299290</v>
      </c>
      <c r="P4" s="106"/>
      <c r="Q4" s="107"/>
      <c r="R4" s="107"/>
      <c r="S4" s="108"/>
      <c r="T4" s="75"/>
      <c r="U4" s="109">
        <v>1</v>
      </c>
      <c r="V4" s="109" t="s">
        <v>8</v>
      </c>
      <c r="W4" s="110" t="s">
        <v>27</v>
      </c>
      <c r="X4" s="100" t="s">
        <v>135</v>
      </c>
      <c r="Y4" s="111">
        <v>1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  <row r="5" spans="1:38" ht="21.75" customHeight="1" x14ac:dyDescent="0.25">
      <c r="A5" s="75">
        <v>1</v>
      </c>
      <c r="B5" s="75" t="s">
        <v>38</v>
      </c>
      <c r="C5" s="100" t="s">
        <v>39</v>
      </c>
      <c r="D5" s="100" t="s">
        <v>224</v>
      </c>
      <c r="E5" s="101">
        <v>30</v>
      </c>
      <c r="F5" s="102">
        <v>1</v>
      </c>
      <c r="G5" s="103">
        <v>4</v>
      </c>
      <c r="H5" s="108" t="s">
        <v>39</v>
      </c>
      <c r="I5" s="103">
        <v>1</v>
      </c>
      <c r="J5" s="104">
        <v>12800</v>
      </c>
      <c r="K5" s="104" t="s">
        <v>107</v>
      </c>
      <c r="L5" s="104" t="s">
        <v>211</v>
      </c>
      <c r="M5" s="104"/>
      <c r="N5" s="105">
        <v>0.8</v>
      </c>
      <c r="O5" s="104">
        <f t="shared" si="0"/>
        <v>163840</v>
      </c>
      <c r="P5" s="106"/>
      <c r="Q5" s="107"/>
      <c r="R5" s="107"/>
      <c r="S5" s="108"/>
      <c r="T5" s="75"/>
      <c r="U5" s="109">
        <v>1</v>
      </c>
      <c r="V5" s="109" t="s">
        <v>8</v>
      </c>
      <c r="W5" s="110" t="s">
        <v>27</v>
      </c>
      <c r="X5" s="100" t="s">
        <v>135</v>
      </c>
      <c r="Y5" s="111">
        <v>1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37</v>
      </c>
      <c r="AK5" s="111">
        <v>0</v>
      </c>
    </row>
    <row r="6" spans="1:38" ht="21.75" customHeight="1" x14ac:dyDescent="0.25">
      <c r="A6" s="75">
        <v>1</v>
      </c>
      <c r="B6" s="75" t="s">
        <v>38</v>
      </c>
      <c r="C6" s="100" t="s">
        <v>39</v>
      </c>
      <c r="D6" s="100" t="s">
        <v>224</v>
      </c>
      <c r="E6" s="101">
        <v>30</v>
      </c>
      <c r="F6" s="102">
        <v>1</v>
      </c>
      <c r="G6" s="103">
        <v>4</v>
      </c>
      <c r="H6" s="108" t="s">
        <v>39</v>
      </c>
      <c r="I6" s="103">
        <v>1</v>
      </c>
      <c r="J6" s="104">
        <v>14900</v>
      </c>
      <c r="K6" s="104" t="s">
        <v>107</v>
      </c>
      <c r="L6" s="104" t="s">
        <v>211</v>
      </c>
      <c r="M6" s="104"/>
      <c r="N6" s="105">
        <v>0.8</v>
      </c>
      <c r="O6" s="104">
        <f t="shared" si="0"/>
        <v>222010</v>
      </c>
      <c r="P6" s="106"/>
      <c r="Q6" s="107"/>
      <c r="R6" s="107"/>
      <c r="S6" s="108"/>
      <c r="T6" s="75"/>
      <c r="U6" s="109">
        <v>1</v>
      </c>
      <c r="V6" s="109" t="s">
        <v>8</v>
      </c>
      <c r="W6" s="110" t="s">
        <v>27</v>
      </c>
      <c r="X6" s="100" t="s">
        <v>135</v>
      </c>
      <c r="Y6" s="111">
        <v>1</v>
      </c>
      <c r="Z6" s="111" t="s">
        <v>168</v>
      </c>
      <c r="AA6" s="111">
        <v>1</v>
      </c>
      <c r="AB6" s="111" t="s">
        <v>37</v>
      </c>
      <c r="AC6" s="111" t="s">
        <v>37</v>
      </c>
      <c r="AD6" s="111" t="s">
        <v>113</v>
      </c>
      <c r="AE6" s="111" t="s">
        <v>54</v>
      </c>
      <c r="AF6" s="114">
        <v>0</v>
      </c>
      <c r="AG6" s="111">
        <v>0</v>
      </c>
      <c r="AH6" s="111">
        <v>0</v>
      </c>
      <c r="AI6" s="111">
        <v>0</v>
      </c>
      <c r="AJ6" s="111" t="s">
        <v>37</v>
      </c>
      <c r="AK6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Listas!$P$2:$P$6</xm:f>
          </x14:formula1>
          <xm:sqref>K4:K6</xm:sqref>
        </x14:dataValidation>
        <x14:dataValidation type="list" allowBlank="1" showInputMessage="1" showErrorMessage="1">
          <x14:formula1>
            <xm:f>Listas!$C$2:$C$9</xm:f>
          </x14:formula1>
          <xm:sqref>C4:C6</xm:sqref>
        </x14:dataValidation>
        <x14:dataValidation type="list" allowBlank="1" showInputMessage="1" showErrorMessage="1">
          <x14:formula1>
            <xm:f>Listas!$H$2:$H$3</xm:f>
          </x14:formula1>
          <xm:sqref>F2 W4:W6</xm:sqref>
        </x14:dataValidation>
        <x14:dataValidation type="list" allowBlank="1" showInputMessage="1" showErrorMessage="1">
          <x14:formula1>
            <xm:f>Listas!$I$2:$I$3</xm:f>
          </x14:formula1>
          <xm:sqref>G2 V4:V6</xm:sqref>
        </x14:dataValidation>
        <x14:dataValidation type="list" allowBlank="1" showInputMessage="1" showErrorMessage="1">
          <x14:formula1>
            <xm:f>Listas!$J$2:$J$3</xm:f>
          </x14:formula1>
          <xm:sqref>I2 AJ4:AJ6 AB4:AB6 Q2 T2 AE4:AE6</xm:sqref>
        </x14:dataValidation>
        <x14:dataValidation type="list" allowBlank="1" showInputMessage="1" showErrorMessage="1">
          <x14:formula1>
            <xm:f>Listas!$E$2:$E$3</xm:f>
          </x14:formula1>
          <xm:sqref>G4:G6</xm:sqref>
        </x14:dataValidation>
        <x14:dataValidation type="list" allowBlank="1" showInputMessage="1" showErrorMessage="1">
          <x14:formula1>
            <xm:f>Listas!$F$2:$F$60</xm:f>
          </x14:formula1>
          <xm:sqref>E2 X4:X6</xm:sqref>
        </x14:dataValidation>
        <x14:dataValidation type="list" allowBlank="1" showInputMessage="1" showErrorMessage="1">
          <x14:formula1>
            <xm:f>Listas!$M$2:$M$4</xm:f>
          </x14:formula1>
          <xm:sqref>R2 AC4:AC6</xm:sqref>
        </x14:dataValidation>
        <x14:dataValidation type="list" allowBlank="1" showInputMessage="1" showErrorMessage="1">
          <x14:formula1>
            <xm:f>Listas!$N$2:$N$7</xm:f>
          </x14:formula1>
          <xm:sqref>S2 AD4:AD6</xm:sqref>
        </x14:dataValidation>
        <x14:dataValidation type="list" allowBlank="1" showInputMessage="1" showErrorMessage="1">
          <x14:formula1>
            <xm:f>Listas!$L$2:$L$9</xm:f>
          </x14:formula1>
          <xm:sqref>O2 Z4:Z6</xm:sqref>
        </x14:dataValidation>
        <x14:dataValidation type="list" allowBlank="1" showInputMessage="1" showErrorMessage="1">
          <x14:formula1>
            <xm:f>Listas!$A$2:$A$7</xm:f>
          </x14:formula1>
          <xm:sqref>L4:L6</xm:sqref>
        </x14:dataValidation>
        <x14:dataValidation type="list" allowBlank="1" showInputMessage="1" showErrorMessage="1">
          <x14:formula1>
            <xm:f>Listas!$D$2:$D$4</xm:f>
          </x14:formula1>
          <xm:sqref>D2 B4:B6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:AL6"/>
  <sheetViews>
    <sheetView workbookViewId="0">
      <selection activeCell="L8" sqref="L8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9.5703125" customWidth="1"/>
    <col min="18" max="18" width="12.5703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QDL1</v>
      </c>
      <c r="B2" s="93" t="s">
        <v>192</v>
      </c>
      <c r="C2" s="93">
        <v>20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0.95</v>
      </c>
      <c r="L2" s="95">
        <v>0</v>
      </c>
      <c r="M2" s="95">
        <v>0</v>
      </c>
      <c r="N2" s="95">
        <v>3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38</v>
      </c>
      <c r="C4" s="100" t="s">
        <v>39</v>
      </c>
      <c r="D4" s="100" t="s">
        <v>224</v>
      </c>
      <c r="E4" s="101">
        <v>30</v>
      </c>
      <c r="F4" s="102">
        <v>1</v>
      </c>
      <c r="G4" s="103">
        <v>4</v>
      </c>
      <c r="H4" s="108" t="s">
        <v>39</v>
      </c>
      <c r="I4" s="103">
        <v>1</v>
      </c>
      <c r="J4" s="104">
        <v>15000</v>
      </c>
      <c r="K4" s="104" t="s">
        <v>180</v>
      </c>
      <c r="L4" s="104" t="s">
        <v>211</v>
      </c>
      <c r="M4" s="104"/>
      <c r="N4" s="105">
        <v>0.95</v>
      </c>
      <c r="O4" s="104">
        <f t="shared" ref="O4:O6" si="0">(J4*IF(K4="CV",735.499,IF(K4="HP",745.699872,IF(K4="BTU",0.29307107,J4))))/(IF(OR(L4="FN",  L4="FF",L4="FFN"),1,SQRT(3))*IF(P4=0,1,P4)*1000)</f>
        <v>225000</v>
      </c>
      <c r="P4" s="106"/>
      <c r="Q4" s="107"/>
      <c r="R4" s="107"/>
      <c r="S4" s="108"/>
      <c r="T4" s="75"/>
      <c r="U4" s="109">
        <v>2</v>
      </c>
      <c r="V4" s="109" t="s">
        <v>8</v>
      </c>
      <c r="W4" s="110" t="s">
        <v>27</v>
      </c>
      <c r="X4" s="100" t="s">
        <v>135</v>
      </c>
      <c r="Y4" s="111">
        <v>1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  <row r="5" spans="1:38" ht="21.75" customHeight="1" x14ac:dyDescent="0.25">
      <c r="A5" s="75">
        <v>1</v>
      </c>
      <c r="B5" s="75" t="s">
        <v>38</v>
      </c>
      <c r="C5" s="100" t="s">
        <v>39</v>
      </c>
      <c r="D5" s="100" t="s">
        <v>224</v>
      </c>
      <c r="E5" s="101">
        <v>30</v>
      </c>
      <c r="F5" s="102">
        <v>1</v>
      </c>
      <c r="G5" s="103">
        <v>4</v>
      </c>
      <c r="H5" s="108" t="s">
        <v>39</v>
      </c>
      <c r="I5" s="103">
        <v>1</v>
      </c>
      <c r="J5" s="104">
        <v>16000</v>
      </c>
      <c r="K5" s="104" t="s">
        <v>180</v>
      </c>
      <c r="L5" s="104" t="s">
        <v>211</v>
      </c>
      <c r="M5" s="104"/>
      <c r="N5" s="105">
        <v>0.95</v>
      </c>
      <c r="O5" s="104">
        <f t="shared" si="0"/>
        <v>256000</v>
      </c>
      <c r="P5" s="106"/>
      <c r="Q5" s="107"/>
      <c r="R5" s="107"/>
      <c r="S5" s="108"/>
      <c r="T5" s="75"/>
      <c r="U5" s="109">
        <v>2</v>
      </c>
      <c r="V5" s="109" t="s">
        <v>8</v>
      </c>
      <c r="W5" s="110" t="s">
        <v>27</v>
      </c>
      <c r="X5" s="100" t="s">
        <v>135</v>
      </c>
      <c r="Y5" s="111">
        <v>1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37</v>
      </c>
      <c r="AK5" s="111">
        <v>0</v>
      </c>
    </row>
    <row r="6" spans="1:38" ht="21.75" customHeight="1" x14ac:dyDescent="0.25">
      <c r="A6" s="75">
        <v>1</v>
      </c>
      <c r="B6" s="75" t="s">
        <v>38</v>
      </c>
      <c r="C6" s="100" t="s">
        <v>39</v>
      </c>
      <c r="D6" s="100" t="s">
        <v>224</v>
      </c>
      <c r="E6" s="101">
        <v>30</v>
      </c>
      <c r="F6" s="102">
        <v>1</v>
      </c>
      <c r="G6" s="103">
        <v>4</v>
      </c>
      <c r="H6" s="108" t="s">
        <v>39</v>
      </c>
      <c r="I6" s="103">
        <v>1</v>
      </c>
      <c r="J6" s="104">
        <v>17000</v>
      </c>
      <c r="K6" s="104" t="s">
        <v>180</v>
      </c>
      <c r="L6" s="104" t="s">
        <v>211</v>
      </c>
      <c r="M6" s="104"/>
      <c r="N6" s="105">
        <v>0.95</v>
      </c>
      <c r="O6" s="104">
        <f t="shared" si="0"/>
        <v>289000</v>
      </c>
      <c r="P6" s="106"/>
      <c r="Q6" s="107"/>
      <c r="R6" s="107"/>
      <c r="S6" s="108"/>
      <c r="T6" s="75"/>
      <c r="U6" s="109">
        <v>2</v>
      </c>
      <c r="V6" s="109" t="s">
        <v>8</v>
      </c>
      <c r="W6" s="110" t="s">
        <v>27</v>
      </c>
      <c r="X6" s="100" t="s">
        <v>135</v>
      </c>
      <c r="Y6" s="111">
        <v>1</v>
      </c>
      <c r="Z6" s="111" t="s">
        <v>168</v>
      </c>
      <c r="AA6" s="111">
        <v>1</v>
      </c>
      <c r="AB6" s="111" t="s">
        <v>37</v>
      </c>
      <c r="AC6" s="111" t="s">
        <v>37</v>
      </c>
      <c r="AD6" s="111" t="s">
        <v>113</v>
      </c>
      <c r="AE6" s="111" t="s">
        <v>54</v>
      </c>
      <c r="AF6" s="114">
        <v>0</v>
      </c>
      <c r="AG6" s="111">
        <v>0</v>
      </c>
      <c r="AH6" s="111">
        <v>0</v>
      </c>
      <c r="AI6" s="111">
        <v>0</v>
      </c>
      <c r="AJ6" s="111" t="s">
        <v>37</v>
      </c>
      <c r="AK6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Listas!$D$2:$D$4</xm:f>
          </x14:formula1>
          <xm:sqref>D2 B4:B6</xm:sqref>
        </x14:dataValidation>
        <x14:dataValidation type="list" allowBlank="1" showInputMessage="1" showErrorMessage="1">
          <x14:formula1>
            <xm:f>Listas!$A$2:$A$7</xm:f>
          </x14:formula1>
          <xm:sqref>L4:L6</xm:sqref>
        </x14:dataValidation>
        <x14:dataValidation type="list" allowBlank="1" showInputMessage="1" showErrorMessage="1">
          <x14:formula1>
            <xm:f>Listas!$L$2:$L$9</xm:f>
          </x14:formula1>
          <xm:sqref>O2 Z4:Z6</xm:sqref>
        </x14:dataValidation>
        <x14:dataValidation type="list" allowBlank="1" showInputMessage="1" showErrorMessage="1">
          <x14:formula1>
            <xm:f>Listas!$N$2:$N$7</xm:f>
          </x14:formula1>
          <xm:sqref>S2 AD4:AD6</xm:sqref>
        </x14:dataValidation>
        <x14:dataValidation type="list" allowBlank="1" showInputMessage="1" showErrorMessage="1">
          <x14:formula1>
            <xm:f>Listas!$M$2:$M$4</xm:f>
          </x14:formula1>
          <xm:sqref>R2 AC4:AC6</xm:sqref>
        </x14:dataValidation>
        <x14:dataValidation type="list" allowBlank="1" showInputMessage="1" showErrorMessage="1">
          <x14:formula1>
            <xm:f>Listas!$F$2:$F$60</xm:f>
          </x14:formula1>
          <xm:sqref>E2 X4:X6</xm:sqref>
        </x14:dataValidation>
        <x14:dataValidation type="list" allowBlank="1" showInputMessage="1" showErrorMessage="1">
          <x14:formula1>
            <xm:f>Listas!$E$2:$E$3</xm:f>
          </x14:formula1>
          <xm:sqref>G4:G6</xm:sqref>
        </x14:dataValidation>
        <x14:dataValidation type="list" allowBlank="1" showInputMessage="1" showErrorMessage="1">
          <x14:formula1>
            <xm:f>Listas!$J$2:$J$3</xm:f>
          </x14:formula1>
          <xm:sqref>I2 AJ4:AJ6 AB4:AB6 Q2 T2 AE4:AE6</xm:sqref>
        </x14:dataValidation>
        <x14:dataValidation type="list" allowBlank="1" showInputMessage="1" showErrorMessage="1">
          <x14:formula1>
            <xm:f>Listas!$I$2:$I$3</xm:f>
          </x14:formula1>
          <xm:sqref>G2 V4:V6</xm:sqref>
        </x14:dataValidation>
        <x14:dataValidation type="list" allowBlank="1" showInputMessage="1" showErrorMessage="1">
          <x14:formula1>
            <xm:f>Listas!$H$2:$H$3</xm:f>
          </x14:formula1>
          <xm:sqref>F2 W4:W6</xm:sqref>
        </x14:dataValidation>
        <x14:dataValidation type="list" allowBlank="1" showInputMessage="1" showErrorMessage="1">
          <x14:formula1>
            <xm:f>Listas!$C$2:$C$9</xm:f>
          </x14:formula1>
          <xm:sqref>C4:C6</xm:sqref>
        </x14:dataValidation>
        <x14:dataValidation type="list" allowBlank="1" showInputMessage="1" showErrorMessage="1">
          <x14:formula1>
            <xm:f>Listas!$P$2:$P$6</xm:f>
          </x14:formula1>
          <xm:sqref>K4:K6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:AL6"/>
  <sheetViews>
    <sheetView topLeftCell="I1" workbookViewId="0">
      <selection activeCell="V1" sqref="V1:V2"/>
    </sheetView>
  </sheetViews>
  <sheetFormatPr defaultRowHeight="15" x14ac:dyDescent="0.25"/>
  <cols>
    <col min="2" max="2" width="10.7109375" customWidth="1"/>
    <col min="3" max="3" width="13" customWidth="1"/>
    <col min="4" max="5" width="13.140625" customWidth="1"/>
    <col min="8" max="8" width="13.5703125" customWidth="1"/>
    <col min="15" max="15" width="11.85546875" customWidth="1"/>
    <col min="18" max="18" width="12.5703125" customWidth="1"/>
    <col min="22" max="22" width="11.42578125" customWidth="1"/>
    <col min="29" max="29" width="23" customWidth="1"/>
  </cols>
  <sheetData>
    <row r="1" spans="1:38" ht="38.25" customHeight="1" x14ac:dyDescent="0.25">
      <c r="A1" s="90" t="s">
        <v>181</v>
      </c>
      <c r="B1" s="91" t="s">
        <v>188</v>
      </c>
      <c r="C1" s="91" t="s">
        <v>189</v>
      </c>
      <c r="D1" s="91" t="s">
        <v>62</v>
      </c>
      <c r="E1" s="91" t="s">
        <v>183</v>
      </c>
      <c r="F1" s="91" t="s">
        <v>184</v>
      </c>
      <c r="G1" s="91" t="s">
        <v>185</v>
      </c>
      <c r="H1" s="91" t="s">
        <v>186</v>
      </c>
      <c r="I1" s="91" t="s">
        <v>187</v>
      </c>
      <c r="J1" s="91" t="s">
        <v>198</v>
      </c>
      <c r="K1" s="91" t="s">
        <v>182</v>
      </c>
      <c r="L1" s="91" t="s">
        <v>196</v>
      </c>
      <c r="M1" s="91" t="s">
        <v>199</v>
      </c>
      <c r="N1" s="91" t="s">
        <v>158</v>
      </c>
      <c r="O1" s="91" t="s">
        <v>159</v>
      </c>
      <c r="P1" s="91" t="s">
        <v>161</v>
      </c>
      <c r="Q1" s="91" t="s">
        <v>163</v>
      </c>
      <c r="R1" s="91" t="s">
        <v>162</v>
      </c>
      <c r="S1" s="91" t="s">
        <v>164</v>
      </c>
      <c r="T1" s="91" t="s">
        <v>197</v>
      </c>
      <c r="U1" s="91" t="s">
        <v>220</v>
      </c>
      <c r="V1" s="91" t="s">
        <v>232</v>
      </c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</row>
    <row r="2" spans="1:38" ht="50.25" customHeight="1" x14ac:dyDescent="0.25">
      <c r="A2" s="92" t="str">
        <f ca="1">RIGHT(CELL("filename",A2),LEN( CELL( "filename",A2 ) )-SEARCH( "]",CELL( "filename",A2 ) ) )</f>
        <v>CCM</v>
      </c>
      <c r="B2" s="93" t="s">
        <v>192</v>
      </c>
      <c r="C2" s="93">
        <v>60</v>
      </c>
      <c r="D2" s="93" t="s">
        <v>38</v>
      </c>
      <c r="E2" s="94" t="s">
        <v>154</v>
      </c>
      <c r="F2" s="94" t="s">
        <v>53</v>
      </c>
      <c r="G2" s="95" t="s">
        <v>8</v>
      </c>
      <c r="H2" s="95">
        <v>3</v>
      </c>
      <c r="I2" s="94" t="s">
        <v>37</v>
      </c>
      <c r="J2" s="96">
        <v>30</v>
      </c>
      <c r="K2" s="95">
        <v>0.95</v>
      </c>
      <c r="L2" s="95">
        <v>0</v>
      </c>
      <c r="M2" s="95">
        <v>0</v>
      </c>
      <c r="N2" s="95">
        <v>3</v>
      </c>
      <c r="O2" s="113" t="s">
        <v>168</v>
      </c>
      <c r="P2" s="95">
        <v>1</v>
      </c>
      <c r="Q2" s="95" t="s">
        <v>37</v>
      </c>
      <c r="R2" s="95" t="s">
        <v>37</v>
      </c>
      <c r="S2" s="95" t="s">
        <v>113</v>
      </c>
      <c r="T2" s="95" t="s">
        <v>54</v>
      </c>
      <c r="U2" s="95" t="s">
        <v>223</v>
      </c>
      <c r="V2" s="95">
        <v>0</v>
      </c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</row>
    <row r="3" spans="1:38" ht="72.75" customHeight="1" x14ac:dyDescent="0.25">
      <c r="A3" s="98" t="s">
        <v>219</v>
      </c>
      <c r="B3" s="98" t="s">
        <v>0</v>
      </c>
      <c r="C3" s="97" t="s">
        <v>220</v>
      </c>
      <c r="D3" s="98" t="s">
        <v>55</v>
      </c>
      <c r="E3" s="98" t="s">
        <v>200</v>
      </c>
      <c r="F3" s="98" t="s">
        <v>195</v>
      </c>
      <c r="G3" s="98" t="s">
        <v>63</v>
      </c>
      <c r="H3" s="98" t="s">
        <v>201</v>
      </c>
      <c r="I3" s="97" t="s">
        <v>104</v>
      </c>
      <c r="J3" s="98" t="s">
        <v>30</v>
      </c>
      <c r="K3" s="98" t="s">
        <v>106</v>
      </c>
      <c r="L3" s="98" t="s">
        <v>202</v>
      </c>
      <c r="M3" s="98" t="s">
        <v>193</v>
      </c>
      <c r="N3" s="98" t="s">
        <v>203</v>
      </c>
      <c r="O3" s="98" t="s">
        <v>222</v>
      </c>
      <c r="P3" s="98" t="s">
        <v>105</v>
      </c>
      <c r="Q3" s="98" t="s">
        <v>204</v>
      </c>
      <c r="R3" s="98" t="s">
        <v>205</v>
      </c>
      <c r="S3" s="97" t="s">
        <v>31</v>
      </c>
      <c r="T3" s="99" t="s">
        <v>58</v>
      </c>
      <c r="U3" s="98" t="s">
        <v>207</v>
      </c>
      <c r="V3" s="99" t="s">
        <v>206</v>
      </c>
      <c r="W3" s="99" t="s">
        <v>26</v>
      </c>
      <c r="X3" s="99" t="s">
        <v>25</v>
      </c>
      <c r="Y3" s="98" t="s">
        <v>158</v>
      </c>
      <c r="Z3" s="98" t="s">
        <v>159</v>
      </c>
      <c r="AA3" s="98" t="s">
        <v>161</v>
      </c>
      <c r="AB3" s="98" t="s">
        <v>163</v>
      </c>
      <c r="AC3" s="98" t="s">
        <v>162</v>
      </c>
      <c r="AD3" s="98" t="s">
        <v>164</v>
      </c>
      <c r="AE3" s="98" t="s">
        <v>197</v>
      </c>
      <c r="AF3" s="98" t="s">
        <v>175</v>
      </c>
      <c r="AG3" s="98" t="s">
        <v>176</v>
      </c>
      <c r="AH3" s="98" t="s">
        <v>178</v>
      </c>
      <c r="AI3" s="98" t="s">
        <v>177</v>
      </c>
      <c r="AJ3" s="98" t="s">
        <v>208</v>
      </c>
      <c r="AK3" s="98" t="s">
        <v>172</v>
      </c>
    </row>
    <row r="4" spans="1:38" ht="21.75" customHeight="1" x14ac:dyDescent="0.25">
      <c r="A4" s="75">
        <v>1</v>
      </c>
      <c r="B4" s="75" t="s">
        <v>38</v>
      </c>
      <c r="C4" s="100" t="s">
        <v>51</v>
      </c>
      <c r="D4" s="100" t="s">
        <v>224</v>
      </c>
      <c r="E4" s="101">
        <v>30</v>
      </c>
      <c r="F4" s="102">
        <v>30</v>
      </c>
      <c r="G4" s="103">
        <v>4</v>
      </c>
      <c r="H4" s="108" t="s">
        <v>51</v>
      </c>
      <c r="I4" s="103">
        <v>1</v>
      </c>
      <c r="J4" s="104">
        <v>30</v>
      </c>
      <c r="K4" s="104" t="s">
        <v>179</v>
      </c>
      <c r="L4" s="104" t="s">
        <v>210</v>
      </c>
      <c r="M4" s="104"/>
      <c r="N4" s="105">
        <v>0.83</v>
      </c>
      <c r="O4" s="104">
        <f t="shared" ref="O4" si="0">(J4*IF(K4="CV",735.499,IF(K4="HP",745.699872,IF(K4="BTU",0.29307107,J4))))/(IF(OR(L4="FN",  L4="FF",L4="FFN"),1,SQRT(3))*IF(P4=0,1,P4)*1000)</f>
        <v>14.154684854623353</v>
      </c>
      <c r="P4" s="106">
        <v>0.9</v>
      </c>
      <c r="Q4" s="107"/>
      <c r="R4" s="107"/>
      <c r="S4" s="108"/>
      <c r="T4" s="75"/>
      <c r="U4" s="109">
        <v>2</v>
      </c>
      <c r="V4" s="109" t="s">
        <v>8</v>
      </c>
      <c r="W4" s="110" t="s">
        <v>27</v>
      </c>
      <c r="X4" s="100" t="s">
        <v>154</v>
      </c>
      <c r="Y4" s="111">
        <v>1</v>
      </c>
      <c r="Z4" s="111" t="s">
        <v>168</v>
      </c>
      <c r="AA4" s="111">
        <v>1</v>
      </c>
      <c r="AB4" s="111" t="s">
        <v>37</v>
      </c>
      <c r="AC4" s="111" t="s">
        <v>37</v>
      </c>
      <c r="AD4" s="111" t="s">
        <v>113</v>
      </c>
      <c r="AE4" s="111" t="s">
        <v>54</v>
      </c>
      <c r="AF4" s="114">
        <v>0</v>
      </c>
      <c r="AG4" s="111">
        <v>0</v>
      </c>
      <c r="AH4" s="111">
        <v>0</v>
      </c>
      <c r="AI4" s="111">
        <v>0</v>
      </c>
      <c r="AJ4" s="111" t="s">
        <v>37</v>
      </c>
      <c r="AK4" s="111">
        <v>0</v>
      </c>
    </row>
    <row r="5" spans="1:38" ht="21.75" customHeight="1" x14ac:dyDescent="0.25">
      <c r="A5" s="75">
        <v>2</v>
      </c>
      <c r="B5" s="75" t="s">
        <v>38</v>
      </c>
      <c r="C5" s="100" t="s">
        <v>51</v>
      </c>
      <c r="D5" s="100" t="s">
        <v>224</v>
      </c>
      <c r="E5" s="101">
        <v>30</v>
      </c>
      <c r="F5" s="102">
        <v>40</v>
      </c>
      <c r="G5" s="103">
        <v>4</v>
      </c>
      <c r="H5" s="108" t="s">
        <v>51</v>
      </c>
      <c r="I5" s="103">
        <v>1</v>
      </c>
      <c r="J5" s="104">
        <v>50</v>
      </c>
      <c r="K5" s="104" t="s">
        <v>179</v>
      </c>
      <c r="L5" s="104" t="s">
        <v>210</v>
      </c>
      <c r="M5" s="104"/>
      <c r="N5" s="105">
        <v>0.86</v>
      </c>
      <c r="O5" s="104">
        <f t="shared" ref="O5" si="1">(J5*IF(K5="CV",735.499,IF(K5="HP",745.699872,IF(K5="BTU",0.29307107,J5))))/(IF(OR(L5="FN",  L5="FF",L5="FFN"),1,SQRT(3))*IF(P5=0,1,P5)*1000)</f>
        <v>23.078290523842426</v>
      </c>
      <c r="P5" s="106">
        <v>0.92</v>
      </c>
      <c r="Q5" s="107"/>
      <c r="R5" s="107"/>
      <c r="S5" s="108"/>
      <c r="T5" s="75"/>
      <c r="U5" s="109">
        <v>2</v>
      </c>
      <c r="V5" s="109" t="s">
        <v>8</v>
      </c>
      <c r="W5" s="110" t="s">
        <v>27</v>
      </c>
      <c r="X5" s="100">
        <v>33</v>
      </c>
      <c r="Y5" s="111">
        <v>1</v>
      </c>
      <c r="Z5" s="111" t="s">
        <v>168</v>
      </c>
      <c r="AA5" s="111">
        <v>1</v>
      </c>
      <c r="AB5" s="111" t="s">
        <v>37</v>
      </c>
      <c r="AC5" s="111" t="s">
        <v>37</v>
      </c>
      <c r="AD5" s="111" t="s">
        <v>113</v>
      </c>
      <c r="AE5" s="111" t="s">
        <v>54</v>
      </c>
      <c r="AF5" s="114">
        <v>0</v>
      </c>
      <c r="AG5" s="111">
        <v>0</v>
      </c>
      <c r="AH5" s="111">
        <v>0</v>
      </c>
      <c r="AI5" s="111">
        <v>0</v>
      </c>
      <c r="AJ5" s="111" t="s">
        <v>37</v>
      </c>
      <c r="AK5" s="111">
        <v>0</v>
      </c>
    </row>
    <row r="6" spans="1:38" ht="21.75" customHeight="1" x14ac:dyDescent="0.25">
      <c r="A6" s="75">
        <v>3</v>
      </c>
      <c r="B6" s="75" t="s">
        <v>38</v>
      </c>
      <c r="C6" s="100" t="s">
        <v>51</v>
      </c>
      <c r="D6" s="100" t="s">
        <v>224</v>
      </c>
      <c r="E6" s="101">
        <v>40</v>
      </c>
      <c r="F6" s="102">
        <v>60</v>
      </c>
      <c r="G6" s="103">
        <v>4</v>
      </c>
      <c r="H6" s="108" t="s">
        <v>51</v>
      </c>
      <c r="I6" s="103">
        <v>1</v>
      </c>
      <c r="J6" s="104">
        <v>100</v>
      </c>
      <c r="K6" s="104" t="s">
        <v>179</v>
      </c>
      <c r="L6" s="104" t="s">
        <v>210</v>
      </c>
      <c r="M6" s="104"/>
      <c r="N6" s="105">
        <v>0.87</v>
      </c>
      <c r="O6" s="104">
        <f t="shared" ref="O6" si="2">(J6*IF(K6="CV",735.499,IF(K6="HP",745.699872,IF(K6="BTU",0.29307107,J6))))/(IF(OR(L6="FN",  L6="FF",L6="FFN"),1,SQRT(3))*IF(P6=0,1,P6)*1000)</f>
        <v>46.156581047684853</v>
      </c>
      <c r="P6" s="106">
        <v>0.92</v>
      </c>
      <c r="Q6" s="107"/>
      <c r="R6" s="107"/>
      <c r="S6" s="108"/>
      <c r="T6" s="75"/>
      <c r="U6" s="109">
        <v>2</v>
      </c>
      <c r="V6" s="109" t="s">
        <v>8</v>
      </c>
      <c r="W6" s="110" t="s">
        <v>27</v>
      </c>
      <c r="X6" s="100">
        <v>33</v>
      </c>
      <c r="Y6" s="111">
        <v>1</v>
      </c>
      <c r="Z6" s="111" t="s">
        <v>168</v>
      </c>
      <c r="AA6" s="111">
        <v>1</v>
      </c>
      <c r="AB6" s="111" t="s">
        <v>37</v>
      </c>
      <c r="AC6" s="111" t="s">
        <v>37</v>
      </c>
      <c r="AD6" s="111" t="s">
        <v>113</v>
      </c>
      <c r="AE6" s="111" t="s">
        <v>54</v>
      </c>
      <c r="AF6" s="114">
        <v>0</v>
      </c>
      <c r="AG6" s="111">
        <v>0</v>
      </c>
      <c r="AH6" s="111">
        <v>0</v>
      </c>
      <c r="AI6" s="111">
        <v>0</v>
      </c>
      <c r="AJ6" s="111" t="s">
        <v>37</v>
      </c>
      <c r="AK6" s="11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Listas!$P$2:$P$6</xm:f>
          </x14:formula1>
          <xm:sqref>K4:K6</xm:sqref>
        </x14:dataValidation>
        <x14:dataValidation type="list" allowBlank="1" showInputMessage="1" showErrorMessage="1">
          <x14:formula1>
            <xm:f>Listas!$C$2:$C$9</xm:f>
          </x14:formula1>
          <xm:sqref>C4:C6</xm:sqref>
        </x14:dataValidation>
        <x14:dataValidation type="list" allowBlank="1" showInputMessage="1" showErrorMessage="1">
          <x14:formula1>
            <xm:f>Listas!$H$2:$H$3</xm:f>
          </x14:formula1>
          <xm:sqref>F2 W4:W6</xm:sqref>
        </x14:dataValidation>
        <x14:dataValidation type="list" allowBlank="1" showInputMessage="1" showErrorMessage="1">
          <x14:formula1>
            <xm:f>Listas!$I$2:$I$3</xm:f>
          </x14:formula1>
          <xm:sqref>G2 V4:V6</xm:sqref>
        </x14:dataValidation>
        <x14:dataValidation type="list" allowBlank="1" showInputMessage="1" showErrorMessage="1">
          <x14:formula1>
            <xm:f>Listas!$J$2:$J$3</xm:f>
          </x14:formula1>
          <xm:sqref>I2 AJ4:AJ6 AB4:AB6 Q2 T2 AE4:AE6</xm:sqref>
        </x14:dataValidation>
        <x14:dataValidation type="list" allowBlank="1" showInputMessage="1" showErrorMessage="1">
          <x14:formula1>
            <xm:f>Listas!$E$2:$E$3</xm:f>
          </x14:formula1>
          <xm:sqref>G4:G6</xm:sqref>
        </x14:dataValidation>
        <x14:dataValidation type="list" allowBlank="1" showInputMessage="1" showErrorMessage="1">
          <x14:formula1>
            <xm:f>Listas!$F$2:$F$60</xm:f>
          </x14:formula1>
          <xm:sqref>E2 X4:X6</xm:sqref>
        </x14:dataValidation>
        <x14:dataValidation type="list" allowBlank="1" showInputMessage="1" showErrorMessage="1">
          <x14:formula1>
            <xm:f>Listas!$M$2:$M$4</xm:f>
          </x14:formula1>
          <xm:sqref>R2 AC4:AC6</xm:sqref>
        </x14:dataValidation>
        <x14:dataValidation type="list" allowBlank="1" showInputMessage="1" showErrorMessage="1">
          <x14:formula1>
            <xm:f>Listas!$N$2:$N$7</xm:f>
          </x14:formula1>
          <xm:sqref>S2 AD4:AD6</xm:sqref>
        </x14:dataValidation>
        <x14:dataValidation type="list" allowBlank="1" showInputMessage="1" showErrorMessage="1">
          <x14:formula1>
            <xm:f>Listas!$L$2:$L$9</xm:f>
          </x14:formula1>
          <xm:sqref>O2 Z4:Z6</xm:sqref>
        </x14:dataValidation>
        <x14:dataValidation type="list" allowBlank="1" showInputMessage="1" showErrorMessage="1">
          <x14:formula1>
            <xm:f>Listas!$A$2:$A$7</xm:f>
          </x14:formula1>
          <xm:sqref>L4:L6</xm:sqref>
        </x14:dataValidation>
        <x14:dataValidation type="list" allowBlank="1" showInputMessage="1" showErrorMessage="1">
          <x14:formula1>
            <xm:f>Listas!$D$2:$D$4</xm:f>
          </x14:formula1>
          <xm:sqref>D2 B4:B6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5"/>
  <sheetViews>
    <sheetView workbookViewId="0">
      <selection activeCell="A22" sqref="A22"/>
    </sheetView>
  </sheetViews>
  <sheetFormatPr defaultRowHeight="15" x14ac:dyDescent="0.25"/>
  <sheetData>
    <row r="1" spans="1:3" x14ac:dyDescent="0.25">
      <c r="A1" t="s">
        <v>2</v>
      </c>
    </row>
    <row r="2" spans="1:3" x14ac:dyDescent="0.25">
      <c r="A2">
        <v>800</v>
      </c>
      <c r="C2" s="3">
        <v>1000</v>
      </c>
    </row>
    <row r="3" spans="1:3" x14ac:dyDescent="0.25">
      <c r="A3">
        <v>630</v>
      </c>
      <c r="C3" s="3">
        <v>800</v>
      </c>
    </row>
    <row r="4" spans="1:3" x14ac:dyDescent="0.25">
      <c r="A4">
        <v>500</v>
      </c>
      <c r="C4" s="3">
        <v>630</v>
      </c>
    </row>
    <row r="5" spans="1:3" x14ac:dyDescent="0.25">
      <c r="A5">
        <v>450</v>
      </c>
      <c r="C5" s="3">
        <v>500</v>
      </c>
    </row>
    <row r="6" spans="1:3" x14ac:dyDescent="0.25">
      <c r="A6">
        <v>400</v>
      </c>
      <c r="C6" s="3">
        <v>400</v>
      </c>
    </row>
    <row r="7" spans="1:3" x14ac:dyDescent="0.25">
      <c r="A7">
        <v>350</v>
      </c>
      <c r="C7" s="3">
        <v>300</v>
      </c>
    </row>
    <row r="8" spans="1:3" x14ac:dyDescent="0.25">
      <c r="A8">
        <v>300</v>
      </c>
      <c r="C8" s="3">
        <v>240</v>
      </c>
    </row>
    <row r="9" spans="1:3" x14ac:dyDescent="0.25">
      <c r="A9">
        <v>250</v>
      </c>
      <c r="C9" s="3">
        <v>185</v>
      </c>
    </row>
    <row r="10" spans="1:3" x14ac:dyDescent="0.25">
      <c r="A10">
        <v>200</v>
      </c>
      <c r="C10" s="3">
        <v>150</v>
      </c>
    </row>
    <row r="11" spans="1:3" x14ac:dyDescent="0.25">
      <c r="A11">
        <v>150</v>
      </c>
      <c r="C11" s="3">
        <v>120</v>
      </c>
    </row>
    <row r="12" spans="1:3" x14ac:dyDescent="0.25">
      <c r="A12">
        <v>125</v>
      </c>
      <c r="C12" s="3">
        <v>95</v>
      </c>
    </row>
    <row r="13" spans="1:3" x14ac:dyDescent="0.25">
      <c r="A13">
        <v>100</v>
      </c>
      <c r="C13" s="3">
        <v>70</v>
      </c>
    </row>
    <row r="14" spans="1:3" x14ac:dyDescent="0.25">
      <c r="A14">
        <v>85</v>
      </c>
      <c r="C14" s="3">
        <v>50</v>
      </c>
    </row>
    <row r="15" spans="1:3" x14ac:dyDescent="0.25">
      <c r="A15">
        <v>70</v>
      </c>
      <c r="C15" s="3">
        <v>35</v>
      </c>
    </row>
    <row r="16" spans="1:3" x14ac:dyDescent="0.25">
      <c r="A16">
        <v>63</v>
      </c>
      <c r="C16" s="3">
        <v>25</v>
      </c>
    </row>
    <row r="17" spans="1:3" x14ac:dyDescent="0.25">
      <c r="A17">
        <v>50</v>
      </c>
      <c r="C17" s="3">
        <v>16</v>
      </c>
    </row>
    <row r="18" spans="1:3" x14ac:dyDescent="0.25">
      <c r="A18">
        <v>40</v>
      </c>
      <c r="C18" s="3">
        <v>10</v>
      </c>
    </row>
    <row r="19" spans="1:3" x14ac:dyDescent="0.25">
      <c r="A19">
        <v>32</v>
      </c>
      <c r="C19" s="3">
        <v>6</v>
      </c>
    </row>
    <row r="20" spans="1:3" x14ac:dyDescent="0.25">
      <c r="A20">
        <v>30</v>
      </c>
      <c r="C20" s="3">
        <v>4</v>
      </c>
    </row>
    <row r="21" spans="1:3" x14ac:dyDescent="0.25">
      <c r="A21">
        <v>25</v>
      </c>
      <c r="C21" s="3">
        <v>2.5</v>
      </c>
    </row>
    <row r="22" spans="1:3" x14ac:dyDescent="0.25">
      <c r="C22" s="3">
        <v>1.5</v>
      </c>
    </row>
    <row r="23" spans="1:3" x14ac:dyDescent="0.25">
      <c r="C23" s="3">
        <v>1</v>
      </c>
    </row>
    <row r="24" spans="1:3" x14ac:dyDescent="0.25">
      <c r="C24" s="3">
        <v>0.75</v>
      </c>
    </row>
    <row r="25" spans="1:3" x14ac:dyDescent="0.25">
      <c r="C25" s="3">
        <v>0.5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P60"/>
  <sheetViews>
    <sheetView workbookViewId="0">
      <selection activeCell="Q11" sqref="Q11"/>
    </sheetView>
  </sheetViews>
  <sheetFormatPr defaultColWidth="9.140625" defaultRowHeight="15" x14ac:dyDescent="0.25"/>
  <cols>
    <col min="1" max="2" width="9.140625" style="79"/>
    <col min="3" max="3" width="14.7109375" style="79" customWidth="1"/>
    <col min="4" max="4" width="11.7109375" style="79" customWidth="1"/>
    <col min="5" max="6" width="9.140625" style="79"/>
    <col min="7" max="7" width="11.140625" style="79" bestFit="1" customWidth="1"/>
    <col min="8" max="8" width="11.85546875" style="79" customWidth="1"/>
    <col min="9" max="9" width="8.42578125" style="79" bestFit="1" customWidth="1"/>
    <col min="10" max="11" width="9.140625" style="79"/>
    <col min="12" max="12" width="53.85546875" style="85" customWidth="1"/>
    <col min="13" max="13" width="13.85546875" style="79" customWidth="1"/>
    <col min="14" max="14" width="12.28515625" style="79" customWidth="1"/>
    <col min="15" max="15" width="20.28515625" style="79" bestFit="1" customWidth="1"/>
    <col min="16" max="16384" width="9.140625" style="79"/>
  </cols>
  <sheetData>
    <row r="1" spans="1:16" ht="15" customHeight="1" x14ac:dyDescent="0.25">
      <c r="A1" s="77" t="s">
        <v>213</v>
      </c>
      <c r="B1" s="77" t="s">
        <v>43</v>
      </c>
      <c r="C1" s="77" t="s">
        <v>44</v>
      </c>
      <c r="D1" s="77" t="s">
        <v>45</v>
      </c>
      <c r="E1" s="77" t="s">
        <v>46</v>
      </c>
      <c r="F1" s="77" t="s">
        <v>129</v>
      </c>
      <c r="G1" s="77" t="s">
        <v>47</v>
      </c>
      <c r="H1" s="77" t="s">
        <v>48</v>
      </c>
      <c r="I1" s="77" t="s">
        <v>49</v>
      </c>
      <c r="J1" s="77" t="s">
        <v>50</v>
      </c>
      <c r="K1" s="87" t="s">
        <v>35</v>
      </c>
      <c r="L1" s="78" t="s">
        <v>108</v>
      </c>
      <c r="M1" s="77" t="s">
        <v>162</v>
      </c>
      <c r="N1" s="77" t="s">
        <v>167</v>
      </c>
      <c r="O1" s="77" t="s">
        <v>174</v>
      </c>
      <c r="P1" s="77" t="s">
        <v>191</v>
      </c>
    </row>
    <row r="2" spans="1:16" ht="15" customHeight="1" x14ac:dyDescent="0.25">
      <c r="A2" s="80" t="s">
        <v>209</v>
      </c>
      <c r="B2" s="80">
        <v>127</v>
      </c>
      <c r="C2" s="80" t="s">
        <v>62</v>
      </c>
      <c r="D2" s="80" t="s">
        <v>36</v>
      </c>
      <c r="E2" s="80">
        <v>2</v>
      </c>
      <c r="F2" s="88">
        <v>1</v>
      </c>
      <c r="G2" s="80" t="s">
        <v>40</v>
      </c>
      <c r="H2" s="80" t="s">
        <v>27</v>
      </c>
      <c r="I2" s="80" t="s">
        <v>8</v>
      </c>
      <c r="J2" s="80" t="s">
        <v>54</v>
      </c>
      <c r="K2" s="89">
        <v>1000</v>
      </c>
      <c r="L2" s="81" t="s">
        <v>168</v>
      </c>
      <c r="M2" s="80" t="s">
        <v>37</v>
      </c>
      <c r="N2" s="82" t="s">
        <v>113</v>
      </c>
      <c r="O2" s="80">
        <v>1</v>
      </c>
      <c r="P2" s="80" t="s">
        <v>179</v>
      </c>
    </row>
    <row r="3" spans="1:16" ht="15" customHeight="1" x14ac:dyDescent="0.25">
      <c r="A3" s="80" t="s">
        <v>210</v>
      </c>
      <c r="B3" s="80">
        <v>220</v>
      </c>
      <c r="C3" s="80" t="s">
        <v>39</v>
      </c>
      <c r="D3" s="80" t="s">
        <v>42</v>
      </c>
      <c r="E3" s="80">
        <v>4</v>
      </c>
      <c r="F3" s="88">
        <v>2</v>
      </c>
      <c r="G3" s="80" t="s">
        <v>52</v>
      </c>
      <c r="H3" s="80" t="s">
        <v>53</v>
      </c>
      <c r="I3" s="80" t="s">
        <v>10</v>
      </c>
      <c r="J3" s="80" t="s">
        <v>37</v>
      </c>
      <c r="K3" s="89">
        <v>800</v>
      </c>
      <c r="L3" s="81" t="s">
        <v>160</v>
      </c>
      <c r="M3" s="80" t="s">
        <v>165</v>
      </c>
      <c r="N3" s="82" t="s">
        <v>115</v>
      </c>
      <c r="O3" s="80">
        <v>1.5</v>
      </c>
      <c r="P3" s="80" t="s">
        <v>190</v>
      </c>
    </row>
    <row r="4" spans="1:16" ht="15" customHeight="1" x14ac:dyDescent="0.25">
      <c r="A4" s="80" t="s">
        <v>211</v>
      </c>
      <c r="B4" s="80">
        <v>380</v>
      </c>
      <c r="C4" s="83" t="s">
        <v>194</v>
      </c>
      <c r="D4" s="80" t="s">
        <v>38</v>
      </c>
      <c r="E4" s="80"/>
      <c r="F4" s="88">
        <v>3</v>
      </c>
      <c r="G4" s="80" t="s">
        <v>64</v>
      </c>
      <c r="H4" s="80"/>
      <c r="I4" s="80"/>
      <c r="J4" s="80"/>
      <c r="K4" s="89">
        <v>630</v>
      </c>
      <c r="L4" s="81" t="s">
        <v>109</v>
      </c>
      <c r="M4" s="80" t="s">
        <v>166</v>
      </c>
      <c r="N4" s="84" t="s">
        <v>116</v>
      </c>
      <c r="O4" s="80">
        <v>2</v>
      </c>
      <c r="P4" s="80" t="s">
        <v>180</v>
      </c>
    </row>
    <row r="5" spans="1:16" ht="15" customHeight="1" x14ac:dyDescent="0.25">
      <c r="A5" s="80" t="s">
        <v>212</v>
      </c>
      <c r="B5" s="80"/>
      <c r="C5" s="80" t="s">
        <v>51</v>
      </c>
      <c r="D5" s="80"/>
      <c r="E5" s="80"/>
      <c r="F5" s="88">
        <v>4</v>
      </c>
      <c r="G5" s="80" t="s">
        <v>65</v>
      </c>
      <c r="H5" s="80"/>
      <c r="I5" s="80"/>
      <c r="J5" s="80"/>
      <c r="K5" s="89">
        <v>500</v>
      </c>
      <c r="L5" s="81" t="s">
        <v>110</v>
      </c>
      <c r="N5" s="84" t="s">
        <v>117</v>
      </c>
      <c r="O5" s="80">
        <v>2.5</v>
      </c>
      <c r="P5" s="80" t="s">
        <v>107</v>
      </c>
    </row>
    <row r="6" spans="1:16" ht="15" customHeight="1" x14ac:dyDescent="0.25">
      <c r="A6" s="80" t="s">
        <v>218</v>
      </c>
      <c r="B6" s="80"/>
      <c r="C6" s="80" t="s">
        <v>56</v>
      </c>
      <c r="D6" s="80"/>
      <c r="E6" s="80"/>
      <c r="F6" s="88">
        <v>5</v>
      </c>
      <c r="G6" s="80" t="s">
        <v>66</v>
      </c>
      <c r="H6" s="80"/>
      <c r="I6" s="80"/>
      <c r="J6" s="80"/>
      <c r="K6" s="89">
        <v>400</v>
      </c>
      <c r="L6" s="81" t="s">
        <v>169</v>
      </c>
      <c r="N6" s="82" t="s">
        <v>114</v>
      </c>
      <c r="O6" s="80">
        <v>3</v>
      </c>
      <c r="P6" s="84" t="s">
        <v>221</v>
      </c>
    </row>
    <row r="7" spans="1:16" x14ac:dyDescent="0.25">
      <c r="A7" s="80" t="s">
        <v>217</v>
      </c>
      <c r="B7" s="80"/>
      <c r="C7" s="80" t="s">
        <v>181</v>
      </c>
      <c r="D7" s="80"/>
      <c r="E7" s="80"/>
      <c r="F7" s="88">
        <v>6</v>
      </c>
      <c r="G7" s="80"/>
      <c r="H7" s="80"/>
      <c r="I7" s="80"/>
      <c r="J7" s="80"/>
      <c r="K7" s="89">
        <v>300</v>
      </c>
      <c r="L7" s="112" t="s">
        <v>216</v>
      </c>
      <c r="N7" s="84" t="s">
        <v>118</v>
      </c>
    </row>
    <row r="8" spans="1:16" x14ac:dyDescent="0.25">
      <c r="A8" s="80"/>
      <c r="B8" s="80"/>
      <c r="C8" s="80" t="s">
        <v>57</v>
      </c>
      <c r="D8" s="80"/>
      <c r="E8" s="80"/>
      <c r="F8" s="88">
        <v>7</v>
      </c>
      <c r="G8" s="80"/>
      <c r="H8" s="80"/>
      <c r="I8" s="80"/>
      <c r="J8" s="80"/>
      <c r="K8" s="89">
        <v>240</v>
      </c>
      <c r="L8" s="112" t="s">
        <v>214</v>
      </c>
      <c r="N8" s="86"/>
    </row>
    <row r="9" spans="1:16" x14ac:dyDescent="0.25">
      <c r="A9" s="80"/>
      <c r="B9" s="80"/>
      <c r="C9" s="80" t="s">
        <v>41</v>
      </c>
      <c r="D9" s="80"/>
      <c r="E9" s="80"/>
      <c r="F9" s="88">
        <v>8</v>
      </c>
      <c r="G9" s="80"/>
      <c r="H9" s="80"/>
      <c r="I9" s="80"/>
      <c r="J9" s="80"/>
      <c r="K9" s="89">
        <v>185</v>
      </c>
      <c r="L9" s="112" t="s">
        <v>215</v>
      </c>
      <c r="N9" s="86"/>
    </row>
    <row r="10" spans="1:16" x14ac:dyDescent="0.25">
      <c r="A10" s="80"/>
      <c r="B10" s="80"/>
      <c r="C10" s="80"/>
      <c r="D10" s="80"/>
      <c r="E10" s="80"/>
      <c r="F10" s="88">
        <v>11</v>
      </c>
      <c r="G10" s="80"/>
      <c r="H10" s="80"/>
      <c r="I10" s="80"/>
      <c r="J10" s="80"/>
      <c r="K10" s="89">
        <v>150</v>
      </c>
    </row>
    <row r="11" spans="1:16" x14ac:dyDescent="0.25">
      <c r="A11" s="80"/>
      <c r="B11" s="80"/>
      <c r="C11" s="80"/>
      <c r="D11" s="80"/>
      <c r="E11" s="80"/>
      <c r="F11" s="88" t="s">
        <v>125</v>
      </c>
      <c r="G11" s="80"/>
      <c r="H11" s="80"/>
      <c r="I11" s="80"/>
      <c r="J11" s="80"/>
      <c r="K11" s="89">
        <v>120</v>
      </c>
    </row>
    <row r="12" spans="1:16" x14ac:dyDescent="0.25">
      <c r="A12" s="80"/>
      <c r="B12" s="80"/>
      <c r="C12" s="80"/>
      <c r="D12" s="80"/>
      <c r="E12" s="80"/>
      <c r="F12" s="88" t="s">
        <v>126</v>
      </c>
      <c r="G12" s="80"/>
      <c r="H12" s="80"/>
      <c r="I12" s="80"/>
      <c r="J12" s="80"/>
      <c r="K12" s="89">
        <v>95</v>
      </c>
    </row>
    <row r="13" spans="1:16" x14ac:dyDescent="0.25">
      <c r="A13" s="80"/>
      <c r="B13" s="80"/>
      <c r="C13" s="80"/>
      <c r="D13" s="80"/>
      <c r="E13" s="80"/>
      <c r="F13" s="88">
        <v>12</v>
      </c>
      <c r="G13" s="80"/>
      <c r="H13" s="80"/>
      <c r="I13" s="80"/>
      <c r="J13" s="80"/>
      <c r="K13" s="89">
        <v>70</v>
      </c>
    </row>
    <row r="14" spans="1:16" x14ac:dyDescent="0.25">
      <c r="A14" s="80"/>
      <c r="B14" s="80"/>
      <c r="C14" s="80"/>
      <c r="D14" s="80"/>
      <c r="E14" s="80"/>
      <c r="F14" s="88" t="s">
        <v>134</v>
      </c>
      <c r="G14" s="80"/>
      <c r="H14" s="80"/>
      <c r="I14" s="80"/>
      <c r="J14" s="80"/>
      <c r="K14" s="89">
        <v>50</v>
      </c>
    </row>
    <row r="15" spans="1:16" x14ac:dyDescent="0.25">
      <c r="A15" s="80"/>
      <c r="B15" s="80"/>
      <c r="C15" s="80"/>
      <c r="D15" s="80"/>
      <c r="E15" s="80"/>
      <c r="F15" s="88" t="s">
        <v>135</v>
      </c>
      <c r="G15" s="80"/>
      <c r="H15" s="80"/>
      <c r="I15" s="80"/>
      <c r="J15" s="80"/>
      <c r="K15" s="89">
        <v>35</v>
      </c>
    </row>
    <row r="16" spans="1:16" x14ac:dyDescent="0.25">
      <c r="A16" s="80"/>
      <c r="B16" s="80"/>
      <c r="C16" s="80"/>
      <c r="D16" s="80"/>
      <c r="E16" s="80"/>
      <c r="F16" s="88" t="s">
        <v>136</v>
      </c>
      <c r="G16" s="80"/>
      <c r="H16" s="80"/>
      <c r="I16" s="80"/>
      <c r="J16" s="80"/>
      <c r="K16" s="89">
        <v>25</v>
      </c>
    </row>
    <row r="17" spans="1:11" x14ac:dyDescent="0.25">
      <c r="A17" s="80"/>
      <c r="B17" s="80"/>
      <c r="C17" s="80"/>
      <c r="D17" s="80"/>
      <c r="E17" s="80"/>
      <c r="F17" s="88" t="s">
        <v>137</v>
      </c>
      <c r="G17" s="80"/>
      <c r="H17" s="80"/>
      <c r="I17" s="80"/>
      <c r="J17" s="80"/>
      <c r="K17" s="89">
        <v>16</v>
      </c>
    </row>
    <row r="18" spans="1:11" x14ac:dyDescent="0.25">
      <c r="F18" s="88" t="s">
        <v>138</v>
      </c>
      <c r="K18" s="89">
        <v>10</v>
      </c>
    </row>
    <row r="19" spans="1:11" x14ac:dyDescent="0.25">
      <c r="F19" s="88" t="s">
        <v>139</v>
      </c>
      <c r="K19" s="89">
        <v>6</v>
      </c>
    </row>
    <row r="20" spans="1:11" x14ac:dyDescent="0.25">
      <c r="F20" s="88" t="s">
        <v>140</v>
      </c>
      <c r="K20" s="89">
        <v>4</v>
      </c>
    </row>
    <row r="21" spans="1:11" x14ac:dyDescent="0.25">
      <c r="F21" s="88" t="s">
        <v>141</v>
      </c>
      <c r="K21" s="89">
        <v>2.5</v>
      </c>
    </row>
    <row r="22" spans="1:11" x14ac:dyDescent="0.25">
      <c r="F22" s="88" t="s">
        <v>142</v>
      </c>
      <c r="K22" s="89">
        <v>1.5</v>
      </c>
    </row>
    <row r="23" spans="1:11" x14ac:dyDescent="0.25">
      <c r="F23" s="88" t="s">
        <v>143</v>
      </c>
      <c r="K23" s="89">
        <v>1</v>
      </c>
    </row>
    <row r="24" spans="1:11" x14ac:dyDescent="0.25">
      <c r="F24" s="88">
        <v>18</v>
      </c>
      <c r="K24" s="89">
        <v>0.75</v>
      </c>
    </row>
    <row r="25" spans="1:11" x14ac:dyDescent="0.25">
      <c r="F25" s="88" t="s">
        <v>144</v>
      </c>
      <c r="K25" s="89">
        <v>0.5</v>
      </c>
    </row>
    <row r="26" spans="1:11" x14ac:dyDescent="0.25">
      <c r="F26" s="88" t="s">
        <v>145</v>
      </c>
    </row>
    <row r="27" spans="1:11" x14ac:dyDescent="0.25">
      <c r="F27" s="88" t="s">
        <v>146</v>
      </c>
    </row>
    <row r="28" spans="1:11" x14ac:dyDescent="0.25">
      <c r="F28" s="88" t="s">
        <v>147</v>
      </c>
    </row>
    <row r="29" spans="1:11" x14ac:dyDescent="0.25">
      <c r="F29" s="88">
        <v>23</v>
      </c>
    </row>
    <row r="30" spans="1:11" x14ac:dyDescent="0.25">
      <c r="F30" s="88" t="s">
        <v>148</v>
      </c>
    </row>
    <row r="31" spans="1:11" x14ac:dyDescent="0.25">
      <c r="F31" s="88" t="s">
        <v>149</v>
      </c>
    </row>
    <row r="32" spans="1:11" x14ac:dyDescent="0.25">
      <c r="F32" s="88">
        <v>25</v>
      </c>
    </row>
    <row r="33" spans="6:6" x14ac:dyDescent="0.25">
      <c r="F33" s="88" t="s">
        <v>150</v>
      </c>
    </row>
    <row r="34" spans="6:6" x14ac:dyDescent="0.25">
      <c r="F34" s="88" t="s">
        <v>151</v>
      </c>
    </row>
    <row r="35" spans="6:6" x14ac:dyDescent="0.25">
      <c r="F35" s="88">
        <v>27</v>
      </c>
    </row>
    <row r="36" spans="6:6" x14ac:dyDescent="0.25">
      <c r="F36" s="88">
        <v>31</v>
      </c>
    </row>
    <row r="37" spans="6:6" x14ac:dyDescent="0.25">
      <c r="F37" s="88">
        <v>32</v>
      </c>
    </row>
    <row r="38" spans="6:6" x14ac:dyDescent="0.25">
      <c r="F38" s="88" t="s">
        <v>127</v>
      </c>
    </row>
    <row r="39" spans="6:6" x14ac:dyDescent="0.25">
      <c r="F39" s="88" t="s">
        <v>128</v>
      </c>
    </row>
    <row r="40" spans="6:6" x14ac:dyDescent="0.25">
      <c r="F40" s="88">
        <v>33</v>
      </c>
    </row>
    <row r="41" spans="6:6" x14ac:dyDescent="0.25">
      <c r="F41" s="88">
        <v>34</v>
      </c>
    </row>
    <row r="42" spans="6:6" x14ac:dyDescent="0.25">
      <c r="F42" s="88">
        <v>35</v>
      </c>
    </row>
    <row r="43" spans="6:6" x14ac:dyDescent="0.25">
      <c r="F43" s="88">
        <v>36</v>
      </c>
    </row>
    <row r="44" spans="6:6" x14ac:dyDescent="0.25">
      <c r="F44" s="88" t="s">
        <v>152</v>
      </c>
    </row>
    <row r="45" spans="6:6" x14ac:dyDescent="0.25">
      <c r="F45" s="88" t="s">
        <v>153</v>
      </c>
    </row>
    <row r="46" spans="6:6" x14ac:dyDescent="0.25">
      <c r="F46" s="88">
        <v>42</v>
      </c>
    </row>
    <row r="47" spans="6:6" x14ac:dyDescent="0.25">
      <c r="F47" s="88">
        <v>43</v>
      </c>
    </row>
    <row r="48" spans="6:6" x14ac:dyDescent="0.25">
      <c r="F48" s="88">
        <v>51</v>
      </c>
    </row>
    <row r="49" spans="6:6" x14ac:dyDescent="0.25">
      <c r="F49" s="88">
        <v>52</v>
      </c>
    </row>
    <row r="50" spans="6:6" x14ac:dyDescent="0.25">
      <c r="F50" s="88">
        <v>53</v>
      </c>
    </row>
    <row r="51" spans="6:6" x14ac:dyDescent="0.25">
      <c r="F51" s="88">
        <v>61</v>
      </c>
    </row>
    <row r="52" spans="6:6" x14ac:dyDescent="0.25">
      <c r="F52" s="88" t="s">
        <v>154</v>
      </c>
    </row>
    <row r="53" spans="6:6" x14ac:dyDescent="0.25">
      <c r="F53" s="88">
        <v>63</v>
      </c>
    </row>
    <row r="54" spans="6:6" x14ac:dyDescent="0.25">
      <c r="F54" s="88">
        <v>71</v>
      </c>
    </row>
    <row r="55" spans="6:6" x14ac:dyDescent="0.25">
      <c r="F55" s="88">
        <v>72</v>
      </c>
    </row>
    <row r="56" spans="6:6" x14ac:dyDescent="0.25">
      <c r="F56" s="88" t="s">
        <v>155</v>
      </c>
    </row>
    <row r="57" spans="6:6" x14ac:dyDescent="0.25">
      <c r="F57" s="88">
        <v>73</v>
      </c>
    </row>
    <row r="58" spans="6:6" x14ac:dyDescent="0.25">
      <c r="F58" s="88">
        <v>74</v>
      </c>
    </row>
    <row r="59" spans="6:6" x14ac:dyDescent="0.25">
      <c r="F59" s="88" t="s">
        <v>156</v>
      </c>
    </row>
    <row r="60" spans="6:6" x14ac:dyDescent="0.25">
      <c r="F60" s="88" t="s">
        <v>157</v>
      </c>
    </row>
  </sheetData>
  <sortState ref="C2:C9">
    <sortCondition ref="C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22"/>
  <sheetViews>
    <sheetView workbookViewId="0">
      <selection activeCell="C22" sqref="C22"/>
    </sheetView>
  </sheetViews>
  <sheetFormatPr defaultRowHeight="15" x14ac:dyDescent="0.25"/>
  <sheetData>
    <row r="1" spans="1:4" x14ac:dyDescent="0.25">
      <c r="A1" s="2" t="s">
        <v>60</v>
      </c>
      <c r="B1" s="2" t="s">
        <v>59</v>
      </c>
      <c r="C1" s="2" t="s">
        <v>61</v>
      </c>
      <c r="D1" s="2" t="s">
        <v>59</v>
      </c>
    </row>
    <row r="2" spans="1:4" x14ac:dyDescent="0.25">
      <c r="A2" s="2">
        <v>25</v>
      </c>
      <c r="B2" s="2">
        <v>35</v>
      </c>
      <c r="C2" s="2">
        <v>1.5</v>
      </c>
      <c r="D2" s="2">
        <v>1.5</v>
      </c>
    </row>
    <row r="3" spans="1:4" x14ac:dyDescent="0.25">
      <c r="A3" s="2">
        <v>25</v>
      </c>
      <c r="B3" s="2">
        <v>50</v>
      </c>
      <c r="C3" s="2">
        <f t="shared" ref="C3:C11" si="0">IF(D3&gt;35,0.5*D3,IF(D3&gt;16,16,D3))</f>
        <v>2.5</v>
      </c>
      <c r="D3" s="2">
        <v>2.5</v>
      </c>
    </row>
    <row r="4" spans="1:4" x14ac:dyDescent="0.25">
      <c r="A4" s="2">
        <v>35</v>
      </c>
      <c r="B4" s="2">
        <v>70</v>
      </c>
      <c r="C4" s="2">
        <f t="shared" si="0"/>
        <v>4</v>
      </c>
      <c r="D4" s="2">
        <v>4</v>
      </c>
    </row>
    <row r="5" spans="1:4" x14ac:dyDescent="0.25">
      <c r="A5" s="2">
        <v>50</v>
      </c>
      <c r="B5" s="2">
        <v>95</v>
      </c>
      <c r="C5" s="2">
        <f t="shared" si="0"/>
        <v>6</v>
      </c>
      <c r="D5" s="2">
        <v>6</v>
      </c>
    </row>
    <row r="6" spans="1:4" x14ac:dyDescent="0.25">
      <c r="A6" s="2">
        <v>70</v>
      </c>
      <c r="B6" s="2">
        <v>120</v>
      </c>
      <c r="C6" s="2">
        <f t="shared" si="0"/>
        <v>10</v>
      </c>
      <c r="D6" s="2">
        <v>10</v>
      </c>
    </row>
    <row r="7" spans="1:4" x14ac:dyDescent="0.25">
      <c r="A7" s="2">
        <v>70</v>
      </c>
      <c r="B7" s="2">
        <v>150</v>
      </c>
      <c r="C7" s="2">
        <f t="shared" si="0"/>
        <v>16</v>
      </c>
      <c r="D7" s="2">
        <v>16</v>
      </c>
    </row>
    <row r="8" spans="1:4" x14ac:dyDescent="0.25">
      <c r="A8" s="2">
        <v>95</v>
      </c>
      <c r="B8" s="2">
        <v>185</v>
      </c>
      <c r="C8" s="2">
        <f t="shared" si="0"/>
        <v>16</v>
      </c>
      <c r="D8" s="2">
        <v>25</v>
      </c>
    </row>
    <row r="9" spans="1:4" x14ac:dyDescent="0.25">
      <c r="A9" s="2">
        <v>120</v>
      </c>
      <c r="B9" s="2">
        <v>240</v>
      </c>
      <c r="C9" s="2">
        <f t="shared" si="0"/>
        <v>16</v>
      </c>
      <c r="D9" s="2">
        <v>35</v>
      </c>
    </row>
    <row r="10" spans="1:4" x14ac:dyDescent="0.25">
      <c r="A10" s="2">
        <v>150</v>
      </c>
      <c r="B10" s="2">
        <v>300</v>
      </c>
      <c r="C10" s="2">
        <f t="shared" si="0"/>
        <v>25</v>
      </c>
      <c r="D10" s="2">
        <v>50</v>
      </c>
    </row>
    <row r="11" spans="1:4" x14ac:dyDescent="0.25">
      <c r="A11" s="2">
        <v>185</v>
      </c>
      <c r="B11" s="2">
        <v>500</v>
      </c>
      <c r="C11" s="2">
        <f t="shared" si="0"/>
        <v>35</v>
      </c>
      <c r="D11" s="2">
        <v>70</v>
      </c>
    </row>
    <row r="12" spans="1:4" x14ac:dyDescent="0.25">
      <c r="A12" s="2"/>
      <c r="B12" s="2"/>
      <c r="C12" s="2">
        <v>50</v>
      </c>
      <c r="D12" s="2">
        <v>95</v>
      </c>
    </row>
    <row r="13" spans="1:4" x14ac:dyDescent="0.25">
      <c r="A13" s="2"/>
      <c r="B13" s="2"/>
      <c r="C13" s="2">
        <v>70</v>
      </c>
      <c r="D13" s="2">
        <v>120</v>
      </c>
    </row>
    <row r="14" spans="1:4" x14ac:dyDescent="0.25">
      <c r="A14" s="2"/>
      <c r="B14" s="2"/>
      <c r="C14" s="2">
        <v>95</v>
      </c>
      <c r="D14" s="2">
        <v>150</v>
      </c>
    </row>
    <row r="15" spans="1:4" x14ac:dyDescent="0.25">
      <c r="A15" s="2"/>
      <c r="B15" s="2"/>
      <c r="C15" s="2">
        <v>95</v>
      </c>
      <c r="D15" s="2">
        <v>185</v>
      </c>
    </row>
    <row r="16" spans="1:4" x14ac:dyDescent="0.25">
      <c r="A16" s="2"/>
      <c r="B16" s="2"/>
      <c r="C16" s="2">
        <f>IF(D16&gt;35,0.5*D16,IF(D16&gt;16,16,D16))</f>
        <v>120</v>
      </c>
      <c r="D16" s="2">
        <v>240</v>
      </c>
    </row>
    <row r="17" spans="1:4" x14ac:dyDescent="0.25">
      <c r="A17" s="2"/>
      <c r="B17" s="2"/>
      <c r="C17" s="2">
        <f>IF(D17&gt;35,0.5*D17,IF(D17&gt;16,16,D17))</f>
        <v>150</v>
      </c>
      <c r="D17" s="2">
        <v>300</v>
      </c>
    </row>
    <row r="18" spans="1:4" x14ac:dyDescent="0.25">
      <c r="A18" s="2"/>
      <c r="B18" s="2"/>
      <c r="C18" s="2">
        <v>240</v>
      </c>
      <c r="D18" s="2">
        <v>400</v>
      </c>
    </row>
    <row r="19" spans="1:4" x14ac:dyDescent="0.25">
      <c r="A19" s="2"/>
      <c r="B19" s="2"/>
      <c r="C19" s="2">
        <v>240</v>
      </c>
      <c r="D19" s="2">
        <v>500</v>
      </c>
    </row>
    <row r="20" spans="1:4" x14ac:dyDescent="0.25">
      <c r="A20" s="2"/>
      <c r="B20" s="2"/>
      <c r="C20" s="2">
        <v>400</v>
      </c>
      <c r="D20" s="2">
        <v>630</v>
      </c>
    </row>
    <row r="21" spans="1:4" x14ac:dyDescent="0.25">
      <c r="A21" s="2"/>
      <c r="B21" s="2"/>
      <c r="C21" s="2">
        <v>400</v>
      </c>
      <c r="D21" s="2">
        <v>800</v>
      </c>
    </row>
    <row r="22" spans="1:4" x14ac:dyDescent="0.25">
      <c r="A22" s="2"/>
      <c r="B22" s="2"/>
      <c r="C22" s="2">
        <v>500</v>
      </c>
      <c r="D22" s="2">
        <v>1000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N53"/>
  <sheetViews>
    <sheetView workbookViewId="0">
      <selection activeCell="H37" sqref="H37"/>
    </sheetView>
  </sheetViews>
  <sheetFormatPr defaultColWidth="9.140625" defaultRowHeight="15" x14ac:dyDescent="0.25"/>
  <cols>
    <col min="1" max="15" width="9.140625" style="4"/>
    <col min="16" max="16" width="9.140625" style="4" customWidth="1"/>
    <col min="17" max="26" width="9.140625" style="4"/>
    <col min="27" max="27" width="9.5703125" style="4" customWidth="1"/>
    <col min="28" max="28" width="9.42578125" style="4" customWidth="1"/>
    <col min="29" max="29" width="9.28515625" style="4" customWidth="1"/>
    <col min="30" max="30" width="9.42578125" style="4" customWidth="1"/>
    <col min="31" max="31" width="9.28515625" style="4" customWidth="1"/>
    <col min="32" max="33" width="8.28515625" style="4" customWidth="1"/>
    <col min="34" max="34" width="10.85546875" style="4" customWidth="1"/>
    <col min="35" max="35" width="10.42578125" style="4" customWidth="1"/>
    <col min="36" max="37" width="10.28515625" style="4" customWidth="1"/>
    <col min="38" max="38" width="10.42578125" style="4" customWidth="1"/>
    <col min="39" max="39" width="9.140625" style="4" customWidth="1"/>
    <col min="40" max="40" width="9.28515625" style="4" customWidth="1"/>
    <col min="41" max="41" width="9.140625" style="4"/>
    <col min="42" max="42" width="8.7109375" style="4" customWidth="1"/>
    <col min="43" max="16384" width="9.140625" style="4"/>
  </cols>
  <sheetData>
    <row r="1" spans="1:40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</row>
    <row r="2" spans="1:40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</row>
    <row r="3" spans="1:40" ht="15.75" customHeight="1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</row>
    <row r="4" spans="1:40" ht="15.75" customHeight="1" x14ac:dyDescent="0.25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</row>
    <row r="5" spans="1:40" ht="15.75" customHeight="1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</row>
    <row r="6" spans="1:40" ht="15.75" customHeight="1" x14ac:dyDescent="0.25"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</row>
    <row r="7" spans="1:40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</row>
    <row r="8" spans="1:40" ht="15.75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</row>
    <row r="9" spans="1:40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</row>
    <row r="10" spans="1:4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</row>
    <row r="12" spans="1:4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</row>
    <row r="13" spans="1:40" x14ac:dyDescent="0.25">
      <c r="A13" s="10" t="s">
        <v>32</v>
      </c>
      <c r="B13" s="5" t="s">
        <v>35</v>
      </c>
      <c r="C13" s="5" t="s">
        <v>33</v>
      </c>
      <c r="D13" s="5" t="s">
        <v>34</v>
      </c>
      <c r="E13" s="5" t="s">
        <v>67</v>
      </c>
      <c r="F13" s="5" t="s">
        <v>68</v>
      </c>
      <c r="G13" s="5" t="s">
        <v>69</v>
      </c>
      <c r="H13" s="5" t="s">
        <v>70</v>
      </c>
      <c r="I13" s="5" t="s">
        <v>71</v>
      </c>
      <c r="J13" s="5" t="s">
        <v>72</v>
      </c>
      <c r="K13" s="5" t="s">
        <v>73</v>
      </c>
      <c r="L13" s="5" t="s">
        <v>74</v>
      </c>
      <c r="M13" s="5" t="s">
        <v>75</v>
      </c>
      <c r="N13" s="5" t="s">
        <v>76</v>
      </c>
      <c r="O13" s="6" t="s">
        <v>77</v>
      </c>
      <c r="P13" s="6" t="s">
        <v>78</v>
      </c>
      <c r="Q13" s="6" t="s">
        <v>79</v>
      </c>
      <c r="R13" s="6" t="s">
        <v>80</v>
      </c>
      <c r="S13" s="6" t="s">
        <v>81</v>
      </c>
      <c r="T13" s="6" t="s">
        <v>82</v>
      </c>
      <c r="U13" s="6" t="s">
        <v>83</v>
      </c>
      <c r="V13" s="6" t="s">
        <v>84</v>
      </c>
      <c r="W13" s="6" t="s">
        <v>85</v>
      </c>
      <c r="X13" s="6" t="s">
        <v>86</v>
      </c>
      <c r="Y13" s="6" t="s">
        <v>87</v>
      </c>
      <c r="Z13" s="6" t="s">
        <v>88</v>
      </c>
      <c r="AA13" s="7" t="s">
        <v>89</v>
      </c>
      <c r="AB13" s="8" t="s">
        <v>90</v>
      </c>
      <c r="AC13" s="7" t="s">
        <v>91</v>
      </c>
      <c r="AD13" s="7" t="s">
        <v>97</v>
      </c>
      <c r="AE13" s="7" t="s">
        <v>92</v>
      </c>
      <c r="AF13" s="7" t="s">
        <v>98</v>
      </c>
      <c r="AG13" s="7" t="s">
        <v>99</v>
      </c>
      <c r="AH13" s="7" t="s">
        <v>93</v>
      </c>
      <c r="AI13" s="8" t="s">
        <v>94</v>
      </c>
      <c r="AJ13" s="7" t="s">
        <v>95</v>
      </c>
      <c r="AK13" s="7" t="s">
        <v>102</v>
      </c>
      <c r="AL13" s="7" t="s">
        <v>96</v>
      </c>
      <c r="AM13" s="7" t="s">
        <v>100</v>
      </c>
      <c r="AN13" s="7" t="s">
        <v>101</v>
      </c>
    </row>
    <row r="14" spans="1:40" x14ac:dyDescent="0.25">
      <c r="A14" s="13" t="s">
        <v>8</v>
      </c>
      <c r="B14" s="14">
        <v>0.5</v>
      </c>
      <c r="C14" s="14">
        <v>7</v>
      </c>
      <c r="D14" s="14">
        <v>7</v>
      </c>
      <c r="E14" s="14">
        <v>7</v>
      </c>
      <c r="F14" s="14">
        <v>7</v>
      </c>
      <c r="G14" s="14">
        <v>9</v>
      </c>
      <c r="H14" s="14">
        <v>8</v>
      </c>
      <c r="I14" s="14">
        <v>9</v>
      </c>
      <c r="J14" s="14">
        <v>8</v>
      </c>
      <c r="K14" s="14">
        <v>10</v>
      </c>
      <c r="L14" s="14">
        <v>9</v>
      </c>
      <c r="M14" s="14">
        <v>12</v>
      </c>
      <c r="N14" s="14">
        <v>10</v>
      </c>
      <c r="O14" s="15">
        <v>10</v>
      </c>
      <c r="P14" s="15">
        <v>9</v>
      </c>
      <c r="Q14" s="15">
        <v>10</v>
      </c>
      <c r="R14" s="15">
        <v>9</v>
      </c>
      <c r="S14" s="15">
        <v>12</v>
      </c>
      <c r="T14" s="15">
        <v>10</v>
      </c>
      <c r="U14" s="15">
        <v>11</v>
      </c>
      <c r="V14" s="15">
        <v>10</v>
      </c>
      <c r="W14" s="15">
        <v>12</v>
      </c>
      <c r="X14" s="15">
        <v>11</v>
      </c>
      <c r="Y14" s="15">
        <v>14</v>
      </c>
      <c r="Z14" s="15">
        <v>12</v>
      </c>
      <c r="AA14" s="15">
        <v>11</v>
      </c>
      <c r="AB14" s="15">
        <v>9</v>
      </c>
      <c r="AC14" s="15">
        <v>11</v>
      </c>
      <c r="AD14" s="15">
        <v>8</v>
      </c>
      <c r="AE14" s="15">
        <v>9</v>
      </c>
      <c r="AF14" s="15">
        <v>12</v>
      </c>
      <c r="AG14" s="15">
        <v>10</v>
      </c>
      <c r="AH14" s="15">
        <v>13</v>
      </c>
      <c r="AI14" s="15">
        <v>12</v>
      </c>
      <c r="AJ14" s="14">
        <v>13</v>
      </c>
      <c r="AK14" s="14">
        <v>10</v>
      </c>
      <c r="AL14" s="14">
        <v>10</v>
      </c>
      <c r="AM14" s="15">
        <v>15</v>
      </c>
      <c r="AN14" s="15">
        <v>12</v>
      </c>
    </row>
    <row r="15" spans="1:40" x14ac:dyDescent="0.25">
      <c r="A15" s="13" t="s">
        <v>8</v>
      </c>
      <c r="B15" s="14">
        <v>0.75</v>
      </c>
      <c r="C15" s="14">
        <v>9</v>
      </c>
      <c r="D15" s="14">
        <v>9</v>
      </c>
      <c r="E15" s="14">
        <v>9</v>
      </c>
      <c r="F15" s="14">
        <v>9</v>
      </c>
      <c r="G15" s="14">
        <v>11</v>
      </c>
      <c r="H15" s="14">
        <v>10</v>
      </c>
      <c r="I15" s="14">
        <v>11</v>
      </c>
      <c r="J15" s="14">
        <v>10</v>
      </c>
      <c r="K15" s="14">
        <v>13</v>
      </c>
      <c r="L15" s="14">
        <v>11</v>
      </c>
      <c r="M15" s="14">
        <v>15</v>
      </c>
      <c r="N15" s="14">
        <v>12</v>
      </c>
      <c r="O15" s="15">
        <v>12</v>
      </c>
      <c r="P15" s="15">
        <v>11</v>
      </c>
      <c r="Q15" s="15">
        <v>12</v>
      </c>
      <c r="R15" s="15">
        <v>11</v>
      </c>
      <c r="S15" s="15">
        <v>15</v>
      </c>
      <c r="T15" s="15">
        <v>13</v>
      </c>
      <c r="U15" s="15">
        <v>15</v>
      </c>
      <c r="V15" s="15">
        <v>13</v>
      </c>
      <c r="W15" s="15">
        <v>16</v>
      </c>
      <c r="X15" s="15">
        <v>14</v>
      </c>
      <c r="Y15" s="15">
        <v>18</v>
      </c>
      <c r="Z15" s="15">
        <v>15</v>
      </c>
      <c r="AA15" s="15">
        <v>14</v>
      </c>
      <c r="AB15" s="15">
        <v>12</v>
      </c>
      <c r="AC15" s="15">
        <v>14</v>
      </c>
      <c r="AD15" s="15">
        <v>11</v>
      </c>
      <c r="AE15" s="15">
        <v>11</v>
      </c>
      <c r="AF15" s="15">
        <v>16</v>
      </c>
      <c r="AG15" s="15">
        <v>13</v>
      </c>
      <c r="AH15" s="15">
        <v>17</v>
      </c>
      <c r="AI15" s="15">
        <v>15</v>
      </c>
      <c r="AJ15" s="14">
        <v>17</v>
      </c>
      <c r="AK15" s="14">
        <v>13</v>
      </c>
      <c r="AL15" s="14">
        <v>14</v>
      </c>
      <c r="AM15" s="15">
        <v>19</v>
      </c>
      <c r="AN15" s="15">
        <v>16</v>
      </c>
    </row>
    <row r="16" spans="1:40" x14ac:dyDescent="0.25">
      <c r="A16" s="13" t="s">
        <v>8</v>
      </c>
      <c r="B16" s="14">
        <v>1</v>
      </c>
      <c r="C16" s="14">
        <v>11</v>
      </c>
      <c r="D16" s="14">
        <v>10</v>
      </c>
      <c r="E16" s="14">
        <v>11</v>
      </c>
      <c r="F16" s="14">
        <v>10</v>
      </c>
      <c r="G16" s="14">
        <v>14</v>
      </c>
      <c r="H16" s="14">
        <v>12</v>
      </c>
      <c r="I16" s="14">
        <v>13</v>
      </c>
      <c r="J16" s="14">
        <v>12</v>
      </c>
      <c r="K16" s="14">
        <v>15</v>
      </c>
      <c r="L16" s="14">
        <v>14</v>
      </c>
      <c r="M16" s="14">
        <v>18</v>
      </c>
      <c r="N16" s="14">
        <v>15</v>
      </c>
      <c r="O16" s="15">
        <v>15</v>
      </c>
      <c r="P16" s="15">
        <v>13</v>
      </c>
      <c r="Q16" s="15">
        <v>14</v>
      </c>
      <c r="R16" s="15">
        <v>13</v>
      </c>
      <c r="S16" s="15">
        <v>18</v>
      </c>
      <c r="T16" s="15">
        <v>16</v>
      </c>
      <c r="U16" s="15">
        <v>17</v>
      </c>
      <c r="V16" s="15">
        <v>15</v>
      </c>
      <c r="W16" s="15">
        <v>19</v>
      </c>
      <c r="X16" s="15">
        <v>17</v>
      </c>
      <c r="Y16" s="15">
        <v>21</v>
      </c>
      <c r="Z16" s="15">
        <v>17</v>
      </c>
      <c r="AA16" s="15">
        <v>17</v>
      </c>
      <c r="AB16" s="15">
        <v>14</v>
      </c>
      <c r="AC16" s="15">
        <v>17</v>
      </c>
      <c r="AD16" s="15">
        <v>13</v>
      </c>
      <c r="AE16" s="15">
        <v>14</v>
      </c>
      <c r="AF16" s="15">
        <v>19</v>
      </c>
      <c r="AG16" s="15">
        <v>16</v>
      </c>
      <c r="AH16" s="15">
        <v>21</v>
      </c>
      <c r="AI16" s="15">
        <v>18</v>
      </c>
      <c r="AJ16" s="14">
        <v>21</v>
      </c>
      <c r="AK16" s="14">
        <v>16</v>
      </c>
      <c r="AL16" s="14">
        <v>17</v>
      </c>
      <c r="AM16" s="15">
        <v>23</v>
      </c>
      <c r="AN16" s="15">
        <v>19</v>
      </c>
    </row>
    <row r="17" spans="1:40" x14ac:dyDescent="0.25">
      <c r="A17" s="13" t="s">
        <v>8</v>
      </c>
      <c r="B17" s="14">
        <v>1.5</v>
      </c>
      <c r="C17" s="14">
        <v>14.5</v>
      </c>
      <c r="D17" s="14">
        <v>13.5</v>
      </c>
      <c r="E17" s="14">
        <v>14</v>
      </c>
      <c r="F17" s="14">
        <v>13</v>
      </c>
      <c r="G17" s="14">
        <v>17.5</v>
      </c>
      <c r="H17" s="14">
        <v>15.5</v>
      </c>
      <c r="I17" s="14">
        <v>16.5</v>
      </c>
      <c r="J17" s="14">
        <v>15</v>
      </c>
      <c r="K17" s="14">
        <v>19.5</v>
      </c>
      <c r="L17" s="14">
        <v>17.5</v>
      </c>
      <c r="M17" s="14">
        <v>22</v>
      </c>
      <c r="N17" s="14">
        <v>18</v>
      </c>
      <c r="O17" s="15">
        <v>19</v>
      </c>
      <c r="P17" s="15">
        <v>17</v>
      </c>
      <c r="Q17" s="15">
        <v>18.5</v>
      </c>
      <c r="R17" s="15">
        <v>16.5</v>
      </c>
      <c r="S17" s="15">
        <v>23</v>
      </c>
      <c r="T17" s="15">
        <v>20</v>
      </c>
      <c r="U17" s="15">
        <v>22</v>
      </c>
      <c r="V17" s="15">
        <v>19.5</v>
      </c>
      <c r="W17" s="15">
        <v>24</v>
      </c>
      <c r="X17" s="15">
        <v>22</v>
      </c>
      <c r="Y17" s="15">
        <v>26</v>
      </c>
      <c r="Z17" s="15">
        <v>22</v>
      </c>
      <c r="AA17" s="15">
        <v>22</v>
      </c>
      <c r="AB17" s="15">
        <v>18.5</v>
      </c>
      <c r="AC17" s="15">
        <v>22</v>
      </c>
      <c r="AD17" s="15">
        <v>17</v>
      </c>
      <c r="AE17" s="15">
        <v>18</v>
      </c>
      <c r="AF17" s="15">
        <v>24</v>
      </c>
      <c r="AG17" s="15">
        <v>21</v>
      </c>
      <c r="AH17" s="15">
        <v>26</v>
      </c>
      <c r="AI17" s="15">
        <v>23</v>
      </c>
      <c r="AJ17" s="14">
        <v>27</v>
      </c>
      <c r="AK17" s="14">
        <v>21</v>
      </c>
      <c r="AL17" s="14">
        <v>22</v>
      </c>
      <c r="AM17" s="15">
        <v>30</v>
      </c>
      <c r="AN17" s="15">
        <v>25</v>
      </c>
    </row>
    <row r="18" spans="1:40" x14ac:dyDescent="0.25">
      <c r="A18" s="13" t="s">
        <v>8</v>
      </c>
      <c r="B18" s="14">
        <v>2.5</v>
      </c>
      <c r="C18" s="14">
        <v>19.5</v>
      </c>
      <c r="D18" s="14">
        <v>18</v>
      </c>
      <c r="E18" s="14">
        <v>18.5</v>
      </c>
      <c r="F18" s="14">
        <v>17.5</v>
      </c>
      <c r="G18" s="14">
        <v>24</v>
      </c>
      <c r="H18" s="14">
        <v>21</v>
      </c>
      <c r="I18" s="14">
        <v>23</v>
      </c>
      <c r="J18" s="14">
        <v>20</v>
      </c>
      <c r="K18" s="14">
        <v>27</v>
      </c>
      <c r="L18" s="14">
        <v>24</v>
      </c>
      <c r="M18" s="14">
        <v>29</v>
      </c>
      <c r="N18" s="14">
        <v>24</v>
      </c>
      <c r="O18" s="15">
        <v>26</v>
      </c>
      <c r="P18" s="15">
        <v>23</v>
      </c>
      <c r="Q18" s="15">
        <v>25</v>
      </c>
      <c r="R18" s="15">
        <v>22</v>
      </c>
      <c r="S18" s="15">
        <v>31</v>
      </c>
      <c r="T18" s="15">
        <v>28</v>
      </c>
      <c r="U18" s="15">
        <v>30</v>
      </c>
      <c r="V18" s="15">
        <v>26</v>
      </c>
      <c r="W18" s="15">
        <v>33</v>
      </c>
      <c r="X18" s="15">
        <v>30</v>
      </c>
      <c r="Y18" s="15">
        <v>34</v>
      </c>
      <c r="Z18" s="15">
        <v>29</v>
      </c>
      <c r="AA18" s="15">
        <v>30</v>
      </c>
      <c r="AB18" s="15">
        <v>25</v>
      </c>
      <c r="AC18" s="15">
        <v>31</v>
      </c>
      <c r="AD18" s="15">
        <v>24</v>
      </c>
      <c r="AE18" s="15">
        <v>25</v>
      </c>
      <c r="AF18" s="15">
        <v>34</v>
      </c>
      <c r="AG18" s="15">
        <v>29</v>
      </c>
      <c r="AH18" s="15">
        <v>36</v>
      </c>
      <c r="AI18" s="15">
        <v>32</v>
      </c>
      <c r="AJ18" s="14">
        <v>37</v>
      </c>
      <c r="AK18" s="14">
        <v>29</v>
      </c>
      <c r="AL18" s="14">
        <v>30</v>
      </c>
      <c r="AM18" s="15">
        <v>41</v>
      </c>
      <c r="AN18" s="15">
        <v>35</v>
      </c>
    </row>
    <row r="19" spans="1:40" ht="15.75" customHeight="1" x14ac:dyDescent="0.25">
      <c r="A19" s="13" t="s">
        <v>8</v>
      </c>
      <c r="B19" s="14">
        <v>4</v>
      </c>
      <c r="C19" s="14">
        <v>26</v>
      </c>
      <c r="D19" s="14">
        <v>24</v>
      </c>
      <c r="E19" s="14">
        <v>25</v>
      </c>
      <c r="F19" s="14">
        <v>23</v>
      </c>
      <c r="G19" s="14">
        <v>32</v>
      </c>
      <c r="H19" s="14">
        <v>28</v>
      </c>
      <c r="I19" s="14">
        <v>30</v>
      </c>
      <c r="J19" s="14">
        <v>27</v>
      </c>
      <c r="K19" s="14">
        <v>36</v>
      </c>
      <c r="L19" s="14">
        <v>32</v>
      </c>
      <c r="M19" s="14">
        <v>38</v>
      </c>
      <c r="N19" s="14">
        <v>31</v>
      </c>
      <c r="O19" s="15">
        <v>35</v>
      </c>
      <c r="P19" s="15">
        <v>31</v>
      </c>
      <c r="Q19" s="15">
        <v>33</v>
      </c>
      <c r="R19" s="15">
        <v>30</v>
      </c>
      <c r="S19" s="15">
        <v>42</v>
      </c>
      <c r="T19" s="15">
        <v>37</v>
      </c>
      <c r="U19" s="15">
        <v>40</v>
      </c>
      <c r="V19" s="15">
        <v>35</v>
      </c>
      <c r="W19" s="15">
        <v>45</v>
      </c>
      <c r="X19" s="15">
        <v>40</v>
      </c>
      <c r="Y19" s="15">
        <v>44</v>
      </c>
      <c r="Z19" s="15">
        <v>37</v>
      </c>
      <c r="AA19" s="15">
        <v>40</v>
      </c>
      <c r="AB19" s="15">
        <v>34</v>
      </c>
      <c r="AC19" s="15">
        <v>41</v>
      </c>
      <c r="AD19" s="15">
        <v>33</v>
      </c>
      <c r="AE19" s="15">
        <v>34</v>
      </c>
      <c r="AF19" s="15">
        <v>45</v>
      </c>
      <c r="AG19" s="15">
        <v>39</v>
      </c>
      <c r="AH19" s="15">
        <v>49</v>
      </c>
      <c r="AI19" s="15">
        <v>42</v>
      </c>
      <c r="AJ19" s="14">
        <v>50</v>
      </c>
      <c r="AK19" s="14">
        <v>40</v>
      </c>
      <c r="AL19" s="14">
        <v>42</v>
      </c>
      <c r="AM19" s="15">
        <v>56</v>
      </c>
      <c r="AN19" s="15">
        <v>48</v>
      </c>
    </row>
    <row r="20" spans="1:40" x14ac:dyDescent="0.25">
      <c r="A20" s="13" t="s">
        <v>8</v>
      </c>
      <c r="B20" s="14">
        <v>6</v>
      </c>
      <c r="C20" s="14">
        <v>34</v>
      </c>
      <c r="D20" s="14">
        <v>31</v>
      </c>
      <c r="E20" s="14">
        <v>32</v>
      </c>
      <c r="F20" s="14">
        <v>29</v>
      </c>
      <c r="G20" s="14">
        <v>41</v>
      </c>
      <c r="H20" s="14">
        <v>36</v>
      </c>
      <c r="I20" s="14">
        <v>38</v>
      </c>
      <c r="J20" s="14">
        <v>34</v>
      </c>
      <c r="K20" s="14">
        <v>46</v>
      </c>
      <c r="L20" s="14">
        <v>41</v>
      </c>
      <c r="M20" s="14">
        <v>47</v>
      </c>
      <c r="N20" s="14">
        <v>39</v>
      </c>
      <c r="O20" s="15">
        <v>45</v>
      </c>
      <c r="P20" s="15">
        <v>40</v>
      </c>
      <c r="Q20" s="15">
        <v>42</v>
      </c>
      <c r="R20" s="15">
        <v>38</v>
      </c>
      <c r="S20" s="15">
        <v>54</v>
      </c>
      <c r="T20" s="15">
        <v>48</v>
      </c>
      <c r="U20" s="15">
        <v>51</v>
      </c>
      <c r="V20" s="15">
        <v>44</v>
      </c>
      <c r="W20" s="15">
        <v>58</v>
      </c>
      <c r="X20" s="15">
        <v>52</v>
      </c>
      <c r="Y20" s="15">
        <v>56</v>
      </c>
      <c r="Z20" s="15">
        <v>46</v>
      </c>
      <c r="AA20" s="15">
        <v>51</v>
      </c>
      <c r="AB20" s="15">
        <v>43</v>
      </c>
      <c r="AC20" s="15">
        <v>53</v>
      </c>
      <c r="AD20" s="15">
        <v>43</v>
      </c>
      <c r="AE20" s="15">
        <v>45</v>
      </c>
      <c r="AF20" s="15">
        <v>59</v>
      </c>
      <c r="AG20" s="15">
        <v>51</v>
      </c>
      <c r="AH20" s="15">
        <v>63</v>
      </c>
      <c r="AI20" s="15">
        <v>54</v>
      </c>
      <c r="AJ20" s="14">
        <v>65</v>
      </c>
      <c r="AK20" s="14">
        <v>53</v>
      </c>
      <c r="AL20" s="14">
        <v>55</v>
      </c>
      <c r="AM20" s="15">
        <v>73</v>
      </c>
      <c r="AN20" s="15">
        <v>63</v>
      </c>
    </row>
    <row r="21" spans="1:40" x14ac:dyDescent="0.25">
      <c r="A21" s="13" t="s">
        <v>8</v>
      </c>
      <c r="B21" s="14">
        <v>10</v>
      </c>
      <c r="C21" s="14">
        <v>46</v>
      </c>
      <c r="D21" s="14">
        <v>42</v>
      </c>
      <c r="E21" s="14">
        <v>43</v>
      </c>
      <c r="F21" s="14">
        <v>39</v>
      </c>
      <c r="G21" s="14">
        <v>57</v>
      </c>
      <c r="H21" s="14">
        <v>50</v>
      </c>
      <c r="I21" s="14">
        <v>52</v>
      </c>
      <c r="J21" s="14">
        <v>46</v>
      </c>
      <c r="K21" s="14">
        <v>63</v>
      </c>
      <c r="L21" s="14">
        <v>57</v>
      </c>
      <c r="M21" s="14">
        <v>63</v>
      </c>
      <c r="N21" s="14">
        <v>52</v>
      </c>
      <c r="O21" s="15">
        <v>61</v>
      </c>
      <c r="P21" s="15">
        <v>54</v>
      </c>
      <c r="Q21" s="15">
        <v>57</v>
      </c>
      <c r="R21" s="15">
        <v>51</v>
      </c>
      <c r="S21" s="15">
        <v>75</v>
      </c>
      <c r="T21" s="15">
        <v>66</v>
      </c>
      <c r="U21" s="15">
        <v>69</v>
      </c>
      <c r="V21" s="15">
        <v>60</v>
      </c>
      <c r="W21" s="15">
        <v>80</v>
      </c>
      <c r="X21" s="15">
        <v>71</v>
      </c>
      <c r="Y21" s="15">
        <v>73</v>
      </c>
      <c r="Z21" s="15">
        <v>61</v>
      </c>
      <c r="AA21" s="15">
        <v>70</v>
      </c>
      <c r="AB21" s="15">
        <v>60</v>
      </c>
      <c r="AC21" s="15">
        <v>73</v>
      </c>
      <c r="AD21" s="15">
        <v>60</v>
      </c>
      <c r="AE21" s="15">
        <v>63</v>
      </c>
      <c r="AF21" s="15">
        <v>81</v>
      </c>
      <c r="AG21" s="15">
        <v>71</v>
      </c>
      <c r="AH21" s="15">
        <v>86</v>
      </c>
      <c r="AI21" s="15">
        <v>75</v>
      </c>
      <c r="AJ21" s="14">
        <v>90</v>
      </c>
      <c r="AK21" s="14">
        <v>74</v>
      </c>
      <c r="AL21" s="14">
        <v>77</v>
      </c>
      <c r="AM21" s="15">
        <v>101</v>
      </c>
      <c r="AN21" s="15">
        <v>88</v>
      </c>
    </row>
    <row r="22" spans="1:40" x14ac:dyDescent="0.25">
      <c r="A22" s="13" t="s">
        <v>8</v>
      </c>
      <c r="B22" s="14">
        <v>16</v>
      </c>
      <c r="C22" s="14">
        <v>61</v>
      </c>
      <c r="D22" s="14">
        <v>56</v>
      </c>
      <c r="E22" s="14">
        <v>57</v>
      </c>
      <c r="F22" s="14">
        <v>52</v>
      </c>
      <c r="G22" s="14">
        <v>76</v>
      </c>
      <c r="H22" s="14">
        <v>68</v>
      </c>
      <c r="I22" s="14">
        <v>69</v>
      </c>
      <c r="J22" s="14">
        <v>62</v>
      </c>
      <c r="K22" s="14">
        <v>85</v>
      </c>
      <c r="L22" s="14">
        <v>76</v>
      </c>
      <c r="M22" s="14">
        <v>81</v>
      </c>
      <c r="N22" s="14">
        <v>67</v>
      </c>
      <c r="O22" s="15">
        <v>81</v>
      </c>
      <c r="P22" s="15">
        <v>73</v>
      </c>
      <c r="Q22" s="15">
        <v>76</v>
      </c>
      <c r="R22" s="15">
        <v>68</v>
      </c>
      <c r="S22" s="15">
        <v>100</v>
      </c>
      <c r="T22" s="15">
        <v>88</v>
      </c>
      <c r="U22" s="15">
        <v>91</v>
      </c>
      <c r="V22" s="15">
        <v>80</v>
      </c>
      <c r="W22" s="15">
        <v>107</v>
      </c>
      <c r="X22" s="15">
        <v>96</v>
      </c>
      <c r="Y22" s="15">
        <v>95</v>
      </c>
      <c r="Z22" s="15">
        <v>79</v>
      </c>
      <c r="AA22" s="15">
        <v>94</v>
      </c>
      <c r="AB22" s="15">
        <v>80</v>
      </c>
      <c r="AC22" s="15">
        <v>99</v>
      </c>
      <c r="AD22" s="15">
        <v>82</v>
      </c>
      <c r="AE22" s="15">
        <v>85</v>
      </c>
      <c r="AF22" s="15">
        <v>110</v>
      </c>
      <c r="AG22" s="15">
        <v>97</v>
      </c>
      <c r="AH22" s="15">
        <v>115</v>
      </c>
      <c r="AI22" s="15">
        <v>100</v>
      </c>
      <c r="AJ22" s="14">
        <v>121</v>
      </c>
      <c r="AK22" s="14">
        <v>101</v>
      </c>
      <c r="AL22" s="14">
        <v>105</v>
      </c>
      <c r="AM22" s="15">
        <v>137</v>
      </c>
      <c r="AN22" s="15">
        <v>120</v>
      </c>
    </row>
    <row r="23" spans="1:40" x14ac:dyDescent="0.25">
      <c r="A23" s="13" t="s">
        <v>8</v>
      </c>
      <c r="B23" s="14">
        <v>25</v>
      </c>
      <c r="C23" s="14">
        <v>80</v>
      </c>
      <c r="D23" s="14">
        <v>73</v>
      </c>
      <c r="E23" s="14">
        <v>75</v>
      </c>
      <c r="F23" s="14">
        <v>68</v>
      </c>
      <c r="G23" s="14">
        <v>101</v>
      </c>
      <c r="H23" s="14">
        <v>89</v>
      </c>
      <c r="I23" s="14">
        <v>90</v>
      </c>
      <c r="J23" s="14">
        <v>80</v>
      </c>
      <c r="K23" s="14">
        <v>112</v>
      </c>
      <c r="L23" s="14">
        <v>96</v>
      </c>
      <c r="M23" s="14">
        <v>104</v>
      </c>
      <c r="N23" s="14">
        <v>86</v>
      </c>
      <c r="O23" s="15">
        <v>106</v>
      </c>
      <c r="P23" s="15">
        <v>95</v>
      </c>
      <c r="Q23" s="15">
        <v>99</v>
      </c>
      <c r="R23" s="15">
        <v>89</v>
      </c>
      <c r="S23" s="15">
        <v>133</v>
      </c>
      <c r="T23" s="15">
        <v>117</v>
      </c>
      <c r="U23" s="15">
        <v>119</v>
      </c>
      <c r="V23" s="15">
        <v>105</v>
      </c>
      <c r="W23" s="15">
        <v>138</v>
      </c>
      <c r="X23" s="15">
        <v>119</v>
      </c>
      <c r="Y23" s="15">
        <v>121</v>
      </c>
      <c r="Z23" s="15">
        <v>101</v>
      </c>
      <c r="AA23" s="15">
        <v>119</v>
      </c>
      <c r="AB23" s="15">
        <v>101</v>
      </c>
      <c r="AC23" s="15">
        <v>131</v>
      </c>
      <c r="AD23" s="15">
        <v>110</v>
      </c>
      <c r="AE23" s="15">
        <v>114</v>
      </c>
      <c r="AF23" s="15">
        <v>146</v>
      </c>
      <c r="AG23" s="15">
        <v>130</v>
      </c>
      <c r="AH23" s="15">
        <v>149</v>
      </c>
      <c r="AI23" s="15">
        <v>127</v>
      </c>
      <c r="AJ23" s="14">
        <v>161</v>
      </c>
      <c r="AK23" s="14">
        <v>135</v>
      </c>
      <c r="AL23" s="14">
        <v>141</v>
      </c>
      <c r="AM23" s="15">
        <v>182</v>
      </c>
      <c r="AN23" s="15">
        <v>161</v>
      </c>
    </row>
    <row r="24" spans="1:40" x14ac:dyDescent="0.25">
      <c r="A24" s="13" t="s">
        <v>8</v>
      </c>
      <c r="B24" s="14">
        <v>35</v>
      </c>
      <c r="C24" s="14">
        <v>99</v>
      </c>
      <c r="D24" s="14">
        <v>89</v>
      </c>
      <c r="E24" s="14">
        <v>92</v>
      </c>
      <c r="F24" s="14">
        <v>83</v>
      </c>
      <c r="G24" s="14">
        <v>125</v>
      </c>
      <c r="H24" s="14">
        <v>110</v>
      </c>
      <c r="I24" s="14">
        <v>111</v>
      </c>
      <c r="J24" s="14">
        <v>99</v>
      </c>
      <c r="K24" s="14">
        <v>138</v>
      </c>
      <c r="L24" s="14">
        <v>119</v>
      </c>
      <c r="M24" s="14">
        <v>125</v>
      </c>
      <c r="N24" s="14">
        <v>103</v>
      </c>
      <c r="O24" s="15">
        <v>131</v>
      </c>
      <c r="P24" s="15">
        <v>117</v>
      </c>
      <c r="Q24" s="15">
        <v>121</v>
      </c>
      <c r="R24" s="15">
        <v>109</v>
      </c>
      <c r="S24" s="15">
        <v>164</v>
      </c>
      <c r="T24" s="15">
        <v>144</v>
      </c>
      <c r="U24" s="15">
        <v>146</v>
      </c>
      <c r="V24" s="15">
        <v>128</v>
      </c>
      <c r="W24" s="15">
        <v>171</v>
      </c>
      <c r="X24" s="15">
        <v>147</v>
      </c>
      <c r="Y24" s="15">
        <v>146</v>
      </c>
      <c r="Z24" s="15">
        <v>122</v>
      </c>
      <c r="AA24" s="15">
        <v>148</v>
      </c>
      <c r="AB24" s="15">
        <v>126</v>
      </c>
      <c r="AC24" s="15">
        <v>162</v>
      </c>
      <c r="AD24" s="15">
        <v>137</v>
      </c>
      <c r="AE24" s="15">
        <v>143</v>
      </c>
      <c r="AF24" s="15">
        <v>181</v>
      </c>
      <c r="AG24" s="15">
        <v>162</v>
      </c>
      <c r="AH24" s="15">
        <v>185</v>
      </c>
      <c r="AI24" s="15">
        <v>158</v>
      </c>
      <c r="AJ24" s="14">
        <v>200</v>
      </c>
      <c r="AK24" s="14">
        <v>169</v>
      </c>
      <c r="AL24" s="14">
        <v>176</v>
      </c>
      <c r="AM24" s="15">
        <v>226</v>
      </c>
      <c r="AN24" s="15">
        <v>201</v>
      </c>
    </row>
    <row r="25" spans="1:40" x14ac:dyDescent="0.25">
      <c r="A25" s="13" t="s">
        <v>8</v>
      </c>
      <c r="B25" s="14">
        <v>50</v>
      </c>
      <c r="C25" s="14">
        <v>119</v>
      </c>
      <c r="D25" s="14">
        <v>108</v>
      </c>
      <c r="E25" s="14">
        <v>110</v>
      </c>
      <c r="F25" s="14">
        <v>99</v>
      </c>
      <c r="G25" s="14">
        <v>151</v>
      </c>
      <c r="H25" s="14">
        <v>134</v>
      </c>
      <c r="I25" s="14">
        <v>133</v>
      </c>
      <c r="J25" s="14">
        <v>118</v>
      </c>
      <c r="K25" s="14">
        <v>168</v>
      </c>
      <c r="L25" s="14">
        <v>144</v>
      </c>
      <c r="M25" s="14">
        <v>148</v>
      </c>
      <c r="N25" s="14">
        <v>122</v>
      </c>
      <c r="O25" s="15">
        <v>158</v>
      </c>
      <c r="P25" s="15">
        <v>141</v>
      </c>
      <c r="Q25" s="15">
        <v>145</v>
      </c>
      <c r="R25" s="15">
        <v>130</v>
      </c>
      <c r="S25" s="15">
        <v>198</v>
      </c>
      <c r="T25" s="15">
        <v>175</v>
      </c>
      <c r="U25" s="15">
        <v>175</v>
      </c>
      <c r="V25" s="15">
        <v>154</v>
      </c>
      <c r="W25" s="15">
        <v>209</v>
      </c>
      <c r="X25" s="15">
        <v>179</v>
      </c>
      <c r="Y25" s="15">
        <v>173</v>
      </c>
      <c r="Z25" s="15">
        <v>144</v>
      </c>
      <c r="AA25" s="15">
        <v>180</v>
      </c>
      <c r="AB25" s="15">
        <v>153</v>
      </c>
      <c r="AC25" s="15">
        <v>196</v>
      </c>
      <c r="AD25" s="15">
        <v>167</v>
      </c>
      <c r="AE25" s="15">
        <v>174</v>
      </c>
      <c r="AF25" s="15">
        <v>219</v>
      </c>
      <c r="AG25" s="15">
        <v>197</v>
      </c>
      <c r="AH25" s="15">
        <v>225</v>
      </c>
      <c r="AI25" s="15">
        <v>192</v>
      </c>
      <c r="AJ25" s="14">
        <v>242</v>
      </c>
      <c r="AK25" s="14">
        <v>207</v>
      </c>
      <c r="AL25" s="14">
        <v>216</v>
      </c>
      <c r="AM25" s="15">
        <v>275</v>
      </c>
      <c r="AN25" s="15">
        <v>246</v>
      </c>
    </row>
    <row r="26" spans="1:40" x14ac:dyDescent="0.25">
      <c r="A26" s="13" t="s">
        <v>8</v>
      </c>
      <c r="B26" s="14">
        <v>70</v>
      </c>
      <c r="C26" s="14">
        <v>151</v>
      </c>
      <c r="D26" s="14">
        <v>136</v>
      </c>
      <c r="E26" s="14">
        <v>139</v>
      </c>
      <c r="F26" s="14">
        <v>125</v>
      </c>
      <c r="G26" s="14">
        <v>192</v>
      </c>
      <c r="H26" s="14">
        <v>171</v>
      </c>
      <c r="I26" s="14">
        <v>168</v>
      </c>
      <c r="J26" s="14">
        <v>149</v>
      </c>
      <c r="K26" s="14">
        <v>213</v>
      </c>
      <c r="L26" s="14">
        <v>184</v>
      </c>
      <c r="M26" s="14">
        <v>183</v>
      </c>
      <c r="N26" s="14">
        <v>151</v>
      </c>
      <c r="O26" s="15">
        <v>200</v>
      </c>
      <c r="P26" s="15">
        <v>179</v>
      </c>
      <c r="Q26" s="15">
        <v>183</v>
      </c>
      <c r="R26" s="15">
        <v>164</v>
      </c>
      <c r="S26" s="15">
        <v>253</v>
      </c>
      <c r="T26" s="15">
        <v>222</v>
      </c>
      <c r="U26" s="15">
        <v>221</v>
      </c>
      <c r="V26" s="15">
        <v>194</v>
      </c>
      <c r="W26" s="15">
        <v>269</v>
      </c>
      <c r="X26" s="15">
        <v>229</v>
      </c>
      <c r="Y26" s="15">
        <v>213</v>
      </c>
      <c r="Z26" s="15">
        <v>178</v>
      </c>
      <c r="AA26" s="15">
        <v>232</v>
      </c>
      <c r="AB26" s="15">
        <v>196</v>
      </c>
      <c r="AC26" s="15">
        <v>251</v>
      </c>
      <c r="AD26" s="15">
        <v>216</v>
      </c>
      <c r="AE26" s="15">
        <v>225</v>
      </c>
      <c r="AF26" s="15">
        <v>281</v>
      </c>
      <c r="AG26" s="15">
        <v>254</v>
      </c>
      <c r="AH26" s="15">
        <v>289</v>
      </c>
      <c r="AI26" s="15">
        <v>246</v>
      </c>
      <c r="AJ26" s="14">
        <v>310</v>
      </c>
      <c r="AK26" s="14">
        <v>268</v>
      </c>
      <c r="AL26" s="14">
        <v>279</v>
      </c>
      <c r="AM26" s="15">
        <v>353</v>
      </c>
      <c r="AN26" s="15">
        <v>318</v>
      </c>
    </row>
    <row r="27" spans="1:40" x14ac:dyDescent="0.25">
      <c r="A27" s="13" t="s">
        <v>8</v>
      </c>
      <c r="B27" s="14">
        <v>95</v>
      </c>
      <c r="C27" s="14">
        <v>182</v>
      </c>
      <c r="D27" s="14">
        <v>164</v>
      </c>
      <c r="E27" s="14">
        <v>167</v>
      </c>
      <c r="F27" s="14">
        <v>150</v>
      </c>
      <c r="G27" s="14">
        <v>232</v>
      </c>
      <c r="H27" s="14">
        <v>207</v>
      </c>
      <c r="I27" s="14">
        <v>201</v>
      </c>
      <c r="J27" s="14">
        <v>179</v>
      </c>
      <c r="K27" s="14">
        <v>258</v>
      </c>
      <c r="L27" s="14">
        <v>223</v>
      </c>
      <c r="M27" s="14">
        <v>216</v>
      </c>
      <c r="N27" s="14">
        <v>179</v>
      </c>
      <c r="O27" s="15">
        <v>241</v>
      </c>
      <c r="P27" s="15">
        <v>216</v>
      </c>
      <c r="Q27" s="15">
        <v>220</v>
      </c>
      <c r="R27" s="15">
        <v>197</v>
      </c>
      <c r="S27" s="15">
        <v>306</v>
      </c>
      <c r="T27" s="15">
        <v>269</v>
      </c>
      <c r="U27" s="15">
        <v>265</v>
      </c>
      <c r="V27" s="15">
        <v>233</v>
      </c>
      <c r="W27" s="15">
        <v>328</v>
      </c>
      <c r="X27" s="15">
        <v>278</v>
      </c>
      <c r="Y27" s="15">
        <v>252</v>
      </c>
      <c r="Z27" s="15">
        <v>211</v>
      </c>
      <c r="AA27" s="15">
        <v>282</v>
      </c>
      <c r="AB27" s="15">
        <v>238</v>
      </c>
      <c r="AC27" s="15">
        <v>304</v>
      </c>
      <c r="AD27" s="15">
        <v>264</v>
      </c>
      <c r="AE27" s="15">
        <v>275</v>
      </c>
      <c r="AF27" s="15">
        <v>341</v>
      </c>
      <c r="AG27" s="15">
        <v>311</v>
      </c>
      <c r="AH27" s="15">
        <v>352</v>
      </c>
      <c r="AI27" s="15">
        <v>298</v>
      </c>
      <c r="AJ27" s="14">
        <v>377</v>
      </c>
      <c r="AK27" s="14">
        <v>328</v>
      </c>
      <c r="AL27" s="14">
        <v>342</v>
      </c>
      <c r="AM27" s="15">
        <v>430</v>
      </c>
      <c r="AN27" s="15">
        <v>389</v>
      </c>
    </row>
    <row r="28" spans="1:40" x14ac:dyDescent="0.25">
      <c r="A28" s="13" t="s">
        <v>8</v>
      </c>
      <c r="B28" s="14">
        <v>120</v>
      </c>
      <c r="C28" s="14">
        <v>210</v>
      </c>
      <c r="D28" s="14">
        <v>188</v>
      </c>
      <c r="E28" s="14">
        <v>192</v>
      </c>
      <c r="F28" s="14">
        <v>172</v>
      </c>
      <c r="G28" s="14">
        <v>269</v>
      </c>
      <c r="H28" s="14">
        <v>239</v>
      </c>
      <c r="I28" s="14">
        <v>232</v>
      </c>
      <c r="J28" s="14">
        <v>206</v>
      </c>
      <c r="K28" s="14">
        <v>299</v>
      </c>
      <c r="L28" s="14">
        <v>259</v>
      </c>
      <c r="M28" s="14">
        <v>246</v>
      </c>
      <c r="N28" s="14">
        <v>203</v>
      </c>
      <c r="O28" s="15">
        <v>278</v>
      </c>
      <c r="P28" s="15">
        <v>249</v>
      </c>
      <c r="Q28" s="15">
        <v>253</v>
      </c>
      <c r="R28" s="15">
        <v>227</v>
      </c>
      <c r="S28" s="15">
        <v>354</v>
      </c>
      <c r="T28" s="15">
        <v>312</v>
      </c>
      <c r="U28" s="15">
        <v>305</v>
      </c>
      <c r="V28" s="15">
        <v>268</v>
      </c>
      <c r="W28" s="15">
        <v>382</v>
      </c>
      <c r="X28" s="15">
        <v>322</v>
      </c>
      <c r="Y28" s="15">
        <v>287</v>
      </c>
      <c r="Z28" s="15">
        <v>240</v>
      </c>
      <c r="AA28" s="15">
        <v>328</v>
      </c>
      <c r="AB28" s="15">
        <v>276</v>
      </c>
      <c r="AC28" s="15">
        <v>352</v>
      </c>
      <c r="AD28" s="15">
        <v>308</v>
      </c>
      <c r="AE28" s="15">
        <v>321</v>
      </c>
      <c r="AF28" s="15">
        <v>396</v>
      </c>
      <c r="AG28" s="15">
        <v>362</v>
      </c>
      <c r="AH28" s="15">
        <v>410</v>
      </c>
      <c r="AI28" s="15">
        <v>346</v>
      </c>
      <c r="AJ28" s="14">
        <v>437</v>
      </c>
      <c r="AK28" s="14">
        <v>383</v>
      </c>
      <c r="AL28" s="14">
        <v>400</v>
      </c>
      <c r="AM28" s="15">
        <v>500</v>
      </c>
      <c r="AN28" s="15">
        <v>454</v>
      </c>
    </row>
    <row r="29" spans="1:40" x14ac:dyDescent="0.25">
      <c r="A29" s="13" t="s">
        <v>8</v>
      </c>
      <c r="B29" s="14">
        <v>150</v>
      </c>
      <c r="C29" s="14">
        <v>240</v>
      </c>
      <c r="D29" s="14">
        <v>216</v>
      </c>
      <c r="E29" s="14">
        <v>219</v>
      </c>
      <c r="F29" s="14">
        <v>196</v>
      </c>
      <c r="G29" s="14">
        <v>309</v>
      </c>
      <c r="H29" s="14">
        <v>275</v>
      </c>
      <c r="I29" s="14">
        <v>265</v>
      </c>
      <c r="J29" s="14">
        <v>236</v>
      </c>
      <c r="K29" s="14">
        <v>344</v>
      </c>
      <c r="L29" s="14">
        <v>299</v>
      </c>
      <c r="M29" s="14">
        <v>278</v>
      </c>
      <c r="N29" s="14">
        <v>230</v>
      </c>
      <c r="O29" s="15">
        <v>318</v>
      </c>
      <c r="P29" s="15">
        <v>285</v>
      </c>
      <c r="Q29" s="15">
        <v>290</v>
      </c>
      <c r="R29" s="15">
        <v>259</v>
      </c>
      <c r="S29" s="15">
        <v>407</v>
      </c>
      <c r="T29" s="15">
        <v>358</v>
      </c>
      <c r="U29" s="15">
        <v>349</v>
      </c>
      <c r="V29" s="15">
        <v>307</v>
      </c>
      <c r="W29" s="15">
        <v>441</v>
      </c>
      <c r="X29" s="15">
        <v>371</v>
      </c>
      <c r="Y29" s="15">
        <v>324</v>
      </c>
      <c r="Z29" s="15">
        <v>271</v>
      </c>
      <c r="AA29" s="15">
        <v>379</v>
      </c>
      <c r="AB29" s="15">
        <v>319</v>
      </c>
      <c r="AC29" s="15">
        <v>406</v>
      </c>
      <c r="AD29" s="15">
        <v>356</v>
      </c>
      <c r="AE29" s="15">
        <v>372</v>
      </c>
      <c r="AF29" s="15">
        <v>456</v>
      </c>
      <c r="AG29" s="15">
        <v>419</v>
      </c>
      <c r="AH29" s="15">
        <v>473</v>
      </c>
      <c r="AI29" s="15">
        <v>399</v>
      </c>
      <c r="AJ29" s="14">
        <v>504</v>
      </c>
      <c r="AK29" s="14">
        <v>444</v>
      </c>
      <c r="AL29" s="14">
        <v>464</v>
      </c>
      <c r="AM29" s="15">
        <v>577</v>
      </c>
      <c r="AN29" s="15">
        <v>527</v>
      </c>
    </row>
    <row r="30" spans="1:40" x14ac:dyDescent="0.25">
      <c r="A30" s="13" t="s">
        <v>8</v>
      </c>
      <c r="B30" s="14">
        <v>185</v>
      </c>
      <c r="C30" s="14">
        <v>273</v>
      </c>
      <c r="D30" s="14">
        <v>245</v>
      </c>
      <c r="E30" s="14">
        <v>248</v>
      </c>
      <c r="F30" s="14">
        <v>223</v>
      </c>
      <c r="G30" s="14">
        <v>353</v>
      </c>
      <c r="H30" s="14">
        <v>314</v>
      </c>
      <c r="I30" s="14">
        <v>300</v>
      </c>
      <c r="J30" s="14">
        <v>268</v>
      </c>
      <c r="K30" s="14">
        <v>392</v>
      </c>
      <c r="L30" s="14">
        <v>341</v>
      </c>
      <c r="M30" s="14">
        <v>312</v>
      </c>
      <c r="N30" s="14">
        <v>258</v>
      </c>
      <c r="O30" s="15">
        <v>362</v>
      </c>
      <c r="P30" s="15">
        <v>324</v>
      </c>
      <c r="Q30" s="15">
        <v>329</v>
      </c>
      <c r="R30" s="15">
        <v>295</v>
      </c>
      <c r="S30" s="15">
        <v>464</v>
      </c>
      <c r="T30" s="15">
        <v>408</v>
      </c>
      <c r="U30" s="15">
        <v>395</v>
      </c>
      <c r="V30" s="15">
        <v>348</v>
      </c>
      <c r="W30" s="15">
        <v>506</v>
      </c>
      <c r="X30" s="15">
        <v>424</v>
      </c>
      <c r="Y30" s="15">
        <v>363</v>
      </c>
      <c r="Z30" s="15">
        <v>304</v>
      </c>
      <c r="AA30" s="15">
        <v>434</v>
      </c>
      <c r="AB30" s="15">
        <v>364</v>
      </c>
      <c r="AC30" s="15">
        <v>463</v>
      </c>
      <c r="AD30" s="15">
        <v>409</v>
      </c>
      <c r="AE30" s="15">
        <v>427</v>
      </c>
      <c r="AF30" s="15">
        <v>521</v>
      </c>
      <c r="AG30" s="15">
        <v>480</v>
      </c>
      <c r="AH30" s="15">
        <v>542</v>
      </c>
      <c r="AI30" s="15">
        <v>456</v>
      </c>
      <c r="AJ30" s="14">
        <v>575</v>
      </c>
      <c r="AK30" s="14">
        <v>510</v>
      </c>
      <c r="AL30" s="14">
        <v>533</v>
      </c>
      <c r="AM30" s="15">
        <v>661</v>
      </c>
      <c r="AN30" s="15">
        <v>605</v>
      </c>
    </row>
    <row r="31" spans="1:40" x14ac:dyDescent="0.25">
      <c r="A31" s="13" t="s">
        <v>8</v>
      </c>
      <c r="B31" s="14">
        <v>240</v>
      </c>
      <c r="C31" s="14">
        <v>321</v>
      </c>
      <c r="D31" s="14">
        <v>286</v>
      </c>
      <c r="E31" s="14">
        <v>291</v>
      </c>
      <c r="F31" s="14">
        <v>261</v>
      </c>
      <c r="G31" s="14">
        <v>415</v>
      </c>
      <c r="H31" s="14">
        <v>370</v>
      </c>
      <c r="I31" s="14">
        <v>351</v>
      </c>
      <c r="J31" s="14">
        <v>313</v>
      </c>
      <c r="K31" s="14">
        <v>461</v>
      </c>
      <c r="L31" s="14">
        <v>403</v>
      </c>
      <c r="M31" s="14">
        <v>361</v>
      </c>
      <c r="N31" s="14">
        <v>297</v>
      </c>
      <c r="O31" s="15">
        <v>424</v>
      </c>
      <c r="P31" s="15">
        <v>380</v>
      </c>
      <c r="Q31" s="15">
        <v>386</v>
      </c>
      <c r="R31" s="15">
        <v>346</v>
      </c>
      <c r="S31" s="15">
        <v>546</v>
      </c>
      <c r="T31" s="15">
        <v>481</v>
      </c>
      <c r="U31" s="15">
        <v>462</v>
      </c>
      <c r="V31" s="15">
        <v>407</v>
      </c>
      <c r="W31" s="15">
        <v>599</v>
      </c>
      <c r="X31" s="15">
        <v>500</v>
      </c>
      <c r="Y31" s="15">
        <v>419</v>
      </c>
      <c r="Z31" s="15">
        <v>351</v>
      </c>
      <c r="AA31" s="15">
        <v>514</v>
      </c>
      <c r="AB31" s="15">
        <v>430</v>
      </c>
      <c r="AC31" s="15">
        <v>546</v>
      </c>
      <c r="AD31" s="15">
        <v>485</v>
      </c>
      <c r="AE31" s="15">
        <v>507</v>
      </c>
      <c r="AF31" s="15">
        <v>615</v>
      </c>
      <c r="AG31" s="15">
        <v>569</v>
      </c>
      <c r="AH31" s="15">
        <v>641</v>
      </c>
      <c r="AI31" s="15">
        <v>538</v>
      </c>
      <c r="AJ31" s="14">
        <v>679</v>
      </c>
      <c r="AK31" s="14">
        <v>607</v>
      </c>
      <c r="AL31" s="14">
        <v>634</v>
      </c>
      <c r="AM31" s="15">
        <v>781</v>
      </c>
      <c r="AN31" s="15">
        <v>719</v>
      </c>
    </row>
    <row r="32" spans="1:40" x14ac:dyDescent="0.25">
      <c r="A32" s="13" t="s">
        <v>8</v>
      </c>
      <c r="B32" s="14">
        <v>300</v>
      </c>
      <c r="C32" s="14">
        <v>367</v>
      </c>
      <c r="D32" s="14">
        <v>328</v>
      </c>
      <c r="E32" s="14">
        <v>334</v>
      </c>
      <c r="F32" s="14">
        <v>298</v>
      </c>
      <c r="G32" s="14">
        <v>477</v>
      </c>
      <c r="H32" s="14">
        <v>426</v>
      </c>
      <c r="I32" s="14">
        <v>401</v>
      </c>
      <c r="J32" s="14">
        <v>358</v>
      </c>
      <c r="K32" s="14">
        <v>530</v>
      </c>
      <c r="L32" s="14">
        <v>464</v>
      </c>
      <c r="M32" s="14">
        <v>408</v>
      </c>
      <c r="N32" s="14">
        <v>336</v>
      </c>
      <c r="O32" s="15">
        <v>486</v>
      </c>
      <c r="P32" s="15">
        <v>435</v>
      </c>
      <c r="Q32" s="15">
        <v>442</v>
      </c>
      <c r="R32" s="15">
        <v>396</v>
      </c>
      <c r="S32" s="15">
        <v>628</v>
      </c>
      <c r="T32" s="15">
        <v>553</v>
      </c>
      <c r="U32" s="15">
        <v>529</v>
      </c>
      <c r="V32" s="15">
        <v>465</v>
      </c>
      <c r="W32" s="15">
        <v>693</v>
      </c>
      <c r="X32" s="15">
        <v>576</v>
      </c>
      <c r="Y32" s="15">
        <v>474</v>
      </c>
      <c r="Z32" s="15">
        <v>396</v>
      </c>
      <c r="AA32" s="15">
        <v>593</v>
      </c>
      <c r="AB32" s="15">
        <v>497</v>
      </c>
      <c r="AC32" s="15">
        <v>629</v>
      </c>
      <c r="AD32" s="15">
        <v>561</v>
      </c>
      <c r="AE32" s="15">
        <v>587</v>
      </c>
      <c r="AF32" s="15">
        <v>709</v>
      </c>
      <c r="AG32" s="15">
        <v>659</v>
      </c>
      <c r="AH32" s="15">
        <v>741</v>
      </c>
      <c r="AI32" s="15">
        <v>621</v>
      </c>
      <c r="AJ32" s="14">
        <v>783</v>
      </c>
      <c r="AK32" s="14">
        <v>703</v>
      </c>
      <c r="AL32" s="14">
        <v>736</v>
      </c>
      <c r="AM32" s="15">
        <v>902</v>
      </c>
      <c r="AN32" s="15">
        <v>833</v>
      </c>
    </row>
    <row r="33" spans="1:40" x14ac:dyDescent="0.25">
      <c r="A33" s="13" t="s">
        <v>8</v>
      </c>
      <c r="B33" s="14">
        <v>400</v>
      </c>
      <c r="C33" s="14">
        <v>438</v>
      </c>
      <c r="D33" s="14">
        <v>390</v>
      </c>
      <c r="E33" s="14">
        <v>398</v>
      </c>
      <c r="F33" s="14">
        <v>355</v>
      </c>
      <c r="G33" s="14">
        <v>571</v>
      </c>
      <c r="H33" s="14">
        <v>510</v>
      </c>
      <c r="I33" s="14">
        <v>477</v>
      </c>
      <c r="J33" s="14">
        <v>425</v>
      </c>
      <c r="K33" s="14">
        <v>634</v>
      </c>
      <c r="L33" s="14">
        <v>557</v>
      </c>
      <c r="M33" s="14">
        <v>478</v>
      </c>
      <c r="N33" s="14">
        <v>394</v>
      </c>
      <c r="O33" s="15">
        <v>579</v>
      </c>
      <c r="P33" s="15">
        <v>519</v>
      </c>
      <c r="Q33" s="15">
        <v>527</v>
      </c>
      <c r="R33" s="15">
        <v>472</v>
      </c>
      <c r="S33" s="15">
        <v>751</v>
      </c>
      <c r="T33" s="15">
        <v>661</v>
      </c>
      <c r="U33" s="15">
        <v>628</v>
      </c>
      <c r="V33" s="15">
        <v>552</v>
      </c>
      <c r="W33" s="15">
        <v>835</v>
      </c>
      <c r="X33" s="15">
        <v>692</v>
      </c>
      <c r="Y33" s="15">
        <v>555</v>
      </c>
      <c r="Z33" s="15">
        <v>464</v>
      </c>
      <c r="AA33" s="15">
        <v>715</v>
      </c>
      <c r="AB33" s="15">
        <v>597</v>
      </c>
      <c r="AC33" s="15">
        <v>754</v>
      </c>
      <c r="AD33" s="15">
        <v>656</v>
      </c>
      <c r="AE33" s="15">
        <v>689</v>
      </c>
      <c r="AF33" s="15">
        <v>852</v>
      </c>
      <c r="AG33" s="15">
        <v>795</v>
      </c>
      <c r="AH33" s="15">
        <v>892</v>
      </c>
      <c r="AI33" s="15">
        <v>745</v>
      </c>
      <c r="AJ33" s="14">
        <v>940</v>
      </c>
      <c r="AK33" s="14">
        <v>823</v>
      </c>
      <c r="AL33" s="14">
        <v>868</v>
      </c>
      <c r="AM33" s="15">
        <v>1085</v>
      </c>
      <c r="AN33" s="15">
        <v>1008</v>
      </c>
    </row>
    <row r="34" spans="1:40" x14ac:dyDescent="0.25">
      <c r="A34" s="13" t="s">
        <v>8</v>
      </c>
      <c r="B34" s="14">
        <v>500</v>
      </c>
      <c r="C34" s="14">
        <v>502</v>
      </c>
      <c r="D34" s="14">
        <v>447</v>
      </c>
      <c r="E34" s="14">
        <v>456</v>
      </c>
      <c r="F34" s="14">
        <v>406</v>
      </c>
      <c r="G34" s="14">
        <v>656</v>
      </c>
      <c r="H34" s="14">
        <v>587</v>
      </c>
      <c r="I34" s="14">
        <v>545</v>
      </c>
      <c r="J34" s="14">
        <v>486</v>
      </c>
      <c r="K34" s="14">
        <v>729</v>
      </c>
      <c r="L34" s="14">
        <v>642</v>
      </c>
      <c r="M34" s="14">
        <v>540</v>
      </c>
      <c r="N34" s="14">
        <v>445</v>
      </c>
      <c r="O34" s="15">
        <v>664</v>
      </c>
      <c r="P34" s="15">
        <v>595</v>
      </c>
      <c r="Q34" s="15">
        <v>604</v>
      </c>
      <c r="R34" s="15">
        <v>541</v>
      </c>
      <c r="S34" s="15">
        <v>864</v>
      </c>
      <c r="T34" s="15">
        <v>760</v>
      </c>
      <c r="U34" s="15">
        <v>718</v>
      </c>
      <c r="V34" s="15">
        <v>631</v>
      </c>
      <c r="W34" s="15">
        <v>966</v>
      </c>
      <c r="X34" s="15">
        <v>797</v>
      </c>
      <c r="Y34" s="15">
        <v>627</v>
      </c>
      <c r="Z34" s="15">
        <v>525</v>
      </c>
      <c r="AA34" s="15">
        <v>826</v>
      </c>
      <c r="AB34" s="15">
        <v>689</v>
      </c>
      <c r="AC34" s="15">
        <v>868</v>
      </c>
      <c r="AD34" s="15">
        <v>749</v>
      </c>
      <c r="AE34" s="15">
        <v>789</v>
      </c>
      <c r="AF34" s="15">
        <v>982</v>
      </c>
      <c r="AG34" s="15">
        <v>920</v>
      </c>
      <c r="AH34" s="15">
        <v>1030</v>
      </c>
      <c r="AI34" s="15">
        <v>859</v>
      </c>
      <c r="AJ34" s="14">
        <v>1083</v>
      </c>
      <c r="AK34" s="14">
        <v>946</v>
      </c>
      <c r="AL34" s="14">
        <v>998</v>
      </c>
      <c r="AM34" s="15">
        <v>1253</v>
      </c>
      <c r="AN34" s="15">
        <v>1169</v>
      </c>
    </row>
    <row r="35" spans="1:40" x14ac:dyDescent="0.25">
      <c r="A35" s="13" t="s">
        <v>8</v>
      </c>
      <c r="B35" s="14">
        <v>630</v>
      </c>
      <c r="C35" s="14">
        <v>578</v>
      </c>
      <c r="D35" s="14">
        <v>514</v>
      </c>
      <c r="E35" s="14">
        <v>526</v>
      </c>
      <c r="F35" s="14">
        <v>467</v>
      </c>
      <c r="G35" s="14">
        <v>758</v>
      </c>
      <c r="H35" s="14">
        <v>678</v>
      </c>
      <c r="I35" s="14">
        <v>626</v>
      </c>
      <c r="J35" s="14">
        <v>559</v>
      </c>
      <c r="K35" s="14">
        <v>843</v>
      </c>
      <c r="L35" s="14">
        <v>743</v>
      </c>
      <c r="M35" s="14">
        <v>614</v>
      </c>
      <c r="N35" s="14">
        <v>506</v>
      </c>
      <c r="O35" s="15">
        <v>765</v>
      </c>
      <c r="P35" s="15">
        <v>685</v>
      </c>
      <c r="Q35" s="15">
        <v>696</v>
      </c>
      <c r="R35" s="15">
        <v>623</v>
      </c>
      <c r="S35" s="15">
        <v>998</v>
      </c>
      <c r="T35" s="15">
        <v>879</v>
      </c>
      <c r="U35" s="15">
        <v>825</v>
      </c>
      <c r="V35" s="15">
        <v>725</v>
      </c>
      <c r="W35" s="15">
        <v>1122</v>
      </c>
      <c r="X35" s="15">
        <v>923</v>
      </c>
      <c r="Y35" s="15">
        <v>711</v>
      </c>
      <c r="Z35" s="15">
        <v>596</v>
      </c>
      <c r="AA35" s="15">
        <v>958</v>
      </c>
      <c r="AB35" s="15">
        <v>798</v>
      </c>
      <c r="AC35" s="15">
        <v>1005</v>
      </c>
      <c r="AD35" s="15">
        <v>855</v>
      </c>
      <c r="AE35" s="15">
        <v>905</v>
      </c>
      <c r="AF35" s="15">
        <v>1138</v>
      </c>
      <c r="AG35" s="15">
        <v>1070</v>
      </c>
      <c r="AH35" s="15">
        <v>1196</v>
      </c>
      <c r="AI35" s="15">
        <v>995</v>
      </c>
      <c r="AJ35" s="14">
        <v>1254</v>
      </c>
      <c r="AK35" s="14">
        <v>1088</v>
      </c>
      <c r="AL35" s="14">
        <v>1151</v>
      </c>
      <c r="AM35" s="15">
        <v>1454</v>
      </c>
      <c r="AN35" s="15">
        <v>1362</v>
      </c>
    </row>
    <row r="36" spans="1:40" x14ac:dyDescent="0.25">
      <c r="A36" s="13" t="s">
        <v>8</v>
      </c>
      <c r="B36" s="14">
        <v>800</v>
      </c>
      <c r="C36" s="14">
        <v>669</v>
      </c>
      <c r="D36" s="14">
        <v>593</v>
      </c>
      <c r="E36" s="14">
        <v>609</v>
      </c>
      <c r="F36" s="14">
        <v>540</v>
      </c>
      <c r="G36" s="14">
        <v>881</v>
      </c>
      <c r="H36" s="14">
        <v>788</v>
      </c>
      <c r="I36" s="14">
        <v>723</v>
      </c>
      <c r="J36" s="14">
        <v>645</v>
      </c>
      <c r="K36" s="14">
        <v>978</v>
      </c>
      <c r="L36" s="14">
        <v>865</v>
      </c>
      <c r="M36" s="14">
        <v>700</v>
      </c>
      <c r="N36" s="14">
        <v>577</v>
      </c>
      <c r="O36" s="15">
        <v>885</v>
      </c>
      <c r="P36" s="15">
        <v>792</v>
      </c>
      <c r="Q36" s="15">
        <v>805</v>
      </c>
      <c r="R36" s="15">
        <v>721</v>
      </c>
      <c r="S36" s="15">
        <v>1158</v>
      </c>
      <c r="T36" s="15">
        <v>1020</v>
      </c>
      <c r="U36" s="15">
        <v>952</v>
      </c>
      <c r="V36" s="15">
        <v>837</v>
      </c>
      <c r="W36" s="15">
        <v>1311</v>
      </c>
      <c r="X36" s="15">
        <v>1074</v>
      </c>
      <c r="Y36" s="15">
        <v>811</v>
      </c>
      <c r="Z36" s="15">
        <v>679</v>
      </c>
      <c r="AA36" s="15">
        <v>1118</v>
      </c>
      <c r="AB36" s="15">
        <v>930</v>
      </c>
      <c r="AC36" s="15">
        <v>1169</v>
      </c>
      <c r="AD36" s="15">
        <v>971</v>
      </c>
      <c r="AE36" s="15">
        <v>1119</v>
      </c>
      <c r="AF36" s="15">
        <v>1325</v>
      </c>
      <c r="AG36" s="15">
        <v>1251</v>
      </c>
      <c r="AH36" s="15">
        <v>1396</v>
      </c>
      <c r="AI36" s="15">
        <v>1159</v>
      </c>
      <c r="AJ36" s="14">
        <v>1460</v>
      </c>
      <c r="AK36" s="14">
        <v>1252</v>
      </c>
      <c r="AL36" s="14">
        <v>1328</v>
      </c>
      <c r="AM36" s="15">
        <v>1696</v>
      </c>
      <c r="AN36" s="15">
        <v>1595</v>
      </c>
    </row>
    <row r="37" spans="1:40" x14ac:dyDescent="0.25">
      <c r="A37" s="13" t="s">
        <v>8</v>
      </c>
      <c r="B37" s="16">
        <v>1000</v>
      </c>
      <c r="C37" s="16">
        <v>767</v>
      </c>
      <c r="D37" s="16">
        <v>679</v>
      </c>
      <c r="E37" s="16">
        <v>698</v>
      </c>
      <c r="F37" s="16">
        <v>618</v>
      </c>
      <c r="G37" s="16">
        <v>1012</v>
      </c>
      <c r="H37" s="16">
        <v>906</v>
      </c>
      <c r="I37" s="16">
        <v>827</v>
      </c>
      <c r="J37" s="16">
        <v>738</v>
      </c>
      <c r="K37" s="16">
        <v>1125</v>
      </c>
      <c r="L37" s="16">
        <v>996</v>
      </c>
      <c r="M37" s="16">
        <v>792</v>
      </c>
      <c r="N37" s="16">
        <v>652</v>
      </c>
      <c r="O37" s="17">
        <v>1014</v>
      </c>
      <c r="P37" s="17">
        <v>908</v>
      </c>
      <c r="Q37" s="17">
        <v>923</v>
      </c>
      <c r="R37" s="17">
        <v>826</v>
      </c>
      <c r="S37" s="17">
        <v>1332</v>
      </c>
      <c r="T37" s="17">
        <v>1173</v>
      </c>
      <c r="U37" s="17">
        <v>1088</v>
      </c>
      <c r="V37" s="17">
        <v>957</v>
      </c>
      <c r="W37" s="17">
        <v>1515</v>
      </c>
      <c r="X37" s="17">
        <v>1237</v>
      </c>
      <c r="Y37" s="17">
        <v>916</v>
      </c>
      <c r="Z37" s="17">
        <v>767</v>
      </c>
      <c r="AA37" s="17">
        <v>1292</v>
      </c>
      <c r="AB37" s="17">
        <v>1073</v>
      </c>
      <c r="AC37" s="17">
        <v>1346</v>
      </c>
      <c r="AD37" s="17">
        <v>1079</v>
      </c>
      <c r="AE37" s="17">
        <v>1296</v>
      </c>
      <c r="AF37" s="17">
        <v>1528</v>
      </c>
      <c r="AG37" s="17">
        <v>1448</v>
      </c>
      <c r="AH37" s="17">
        <v>1613</v>
      </c>
      <c r="AI37" s="17">
        <v>1336</v>
      </c>
      <c r="AJ37" s="16">
        <v>1683</v>
      </c>
      <c r="AK37" s="16">
        <v>1420</v>
      </c>
      <c r="AL37" s="16">
        <v>1511</v>
      </c>
      <c r="AM37" s="17">
        <v>1958</v>
      </c>
      <c r="AN37" s="17">
        <v>1849</v>
      </c>
    </row>
    <row r="38" spans="1:40" x14ac:dyDescent="0.25">
      <c r="A38" s="13" t="s">
        <v>10</v>
      </c>
      <c r="B38" s="11">
        <v>1000</v>
      </c>
      <c r="C38" s="11">
        <v>607</v>
      </c>
      <c r="D38" s="11">
        <v>544</v>
      </c>
      <c r="E38" s="11">
        <v>552</v>
      </c>
      <c r="F38" s="11">
        <v>495</v>
      </c>
      <c r="G38" s="11">
        <v>790</v>
      </c>
      <c r="H38" s="11">
        <v>704</v>
      </c>
      <c r="I38" s="11">
        <v>643</v>
      </c>
      <c r="J38" s="11">
        <v>574</v>
      </c>
      <c r="K38" s="11">
        <v>878</v>
      </c>
      <c r="L38" s="11">
        <v>753</v>
      </c>
      <c r="M38" s="11">
        <v>607</v>
      </c>
      <c r="N38" s="11">
        <v>505</v>
      </c>
      <c r="O38" s="12">
        <v>812</v>
      </c>
      <c r="P38" s="12">
        <v>712</v>
      </c>
      <c r="Q38" s="12">
        <v>739</v>
      </c>
      <c r="R38" s="12">
        <v>648</v>
      </c>
      <c r="S38" s="12">
        <v>1061</v>
      </c>
      <c r="T38" s="12">
        <v>955</v>
      </c>
      <c r="U38" s="12">
        <v>870</v>
      </c>
      <c r="V38" s="12">
        <v>780</v>
      </c>
      <c r="W38" s="12">
        <v>1108</v>
      </c>
      <c r="X38" s="12">
        <v>950</v>
      </c>
      <c r="Y38" s="12">
        <v>706</v>
      </c>
      <c r="Z38" s="12">
        <v>598</v>
      </c>
      <c r="AA38" s="12">
        <v>380</v>
      </c>
      <c r="AB38" s="12">
        <v>330</v>
      </c>
      <c r="AC38" s="12">
        <v>430</v>
      </c>
      <c r="AD38" s="12">
        <v>375</v>
      </c>
      <c r="AE38" s="12">
        <v>392</v>
      </c>
      <c r="AF38" s="12">
        <v>482</v>
      </c>
      <c r="AG38" s="12">
        <v>447</v>
      </c>
      <c r="AH38" s="12" t="s">
        <v>19</v>
      </c>
      <c r="AI38" s="12" t="s">
        <v>9</v>
      </c>
      <c r="AJ38" s="12" t="s">
        <v>20</v>
      </c>
      <c r="AK38" s="12" t="s">
        <v>21</v>
      </c>
      <c r="AL38" s="12" t="s">
        <v>22</v>
      </c>
      <c r="AM38" s="12" t="s">
        <v>23</v>
      </c>
      <c r="AN38" s="12" t="s">
        <v>24</v>
      </c>
    </row>
    <row r="39" spans="1:40" x14ac:dyDescent="0.25">
      <c r="A39" s="13" t="s">
        <v>10</v>
      </c>
      <c r="B39" s="11">
        <v>800</v>
      </c>
      <c r="C39" s="11">
        <v>529</v>
      </c>
      <c r="D39" s="11">
        <v>475</v>
      </c>
      <c r="E39" s="11">
        <v>482</v>
      </c>
      <c r="F39" s="11">
        <v>432</v>
      </c>
      <c r="G39" s="11">
        <v>687</v>
      </c>
      <c r="H39" s="11">
        <v>612</v>
      </c>
      <c r="I39" s="11">
        <v>563</v>
      </c>
      <c r="J39" s="11">
        <v>502</v>
      </c>
      <c r="K39" s="11">
        <v>761</v>
      </c>
      <c r="L39" s="11">
        <v>654</v>
      </c>
      <c r="M39" s="11">
        <v>537</v>
      </c>
      <c r="N39" s="11">
        <v>446</v>
      </c>
      <c r="O39" s="12">
        <v>708</v>
      </c>
      <c r="P39" s="12">
        <v>622</v>
      </c>
      <c r="Q39" s="12">
        <v>644</v>
      </c>
      <c r="R39" s="12">
        <v>566</v>
      </c>
      <c r="S39" s="12">
        <v>922</v>
      </c>
      <c r="T39" s="12">
        <v>830</v>
      </c>
      <c r="U39" s="12">
        <v>760</v>
      </c>
      <c r="V39" s="12">
        <v>682</v>
      </c>
      <c r="W39" s="12">
        <v>958</v>
      </c>
      <c r="X39" s="12">
        <v>824</v>
      </c>
      <c r="Y39" s="12">
        <v>624</v>
      </c>
      <c r="Z39" s="12">
        <v>529</v>
      </c>
      <c r="AA39" s="12">
        <v>322</v>
      </c>
      <c r="AB39" s="12">
        <v>280</v>
      </c>
      <c r="AC39" s="12">
        <v>363</v>
      </c>
      <c r="AD39" s="12">
        <v>315</v>
      </c>
      <c r="AE39" s="12">
        <v>330</v>
      </c>
      <c r="AF39" s="12">
        <v>407</v>
      </c>
      <c r="AG39" s="12">
        <v>376</v>
      </c>
      <c r="AH39" s="12" t="s">
        <v>13</v>
      </c>
      <c r="AI39" s="12">
        <v>879</v>
      </c>
      <c r="AJ39" s="12" t="s">
        <v>14</v>
      </c>
      <c r="AK39" s="12" t="s">
        <v>15</v>
      </c>
      <c r="AL39" s="12" t="s">
        <v>16</v>
      </c>
      <c r="AM39" s="12" t="s">
        <v>17</v>
      </c>
      <c r="AN39" s="12" t="s">
        <v>18</v>
      </c>
    </row>
    <row r="40" spans="1:40" x14ac:dyDescent="0.25">
      <c r="A40" s="13" t="s">
        <v>10</v>
      </c>
      <c r="B40" s="11">
        <v>630</v>
      </c>
      <c r="C40" s="11">
        <v>456</v>
      </c>
      <c r="D40" s="11">
        <v>410</v>
      </c>
      <c r="E40" s="11">
        <v>416</v>
      </c>
      <c r="F40" s="11">
        <v>373</v>
      </c>
      <c r="G40" s="11">
        <v>592</v>
      </c>
      <c r="H40" s="11">
        <v>527</v>
      </c>
      <c r="I40" s="11">
        <v>488</v>
      </c>
      <c r="J40" s="11">
        <v>435</v>
      </c>
      <c r="K40" s="11">
        <v>653</v>
      </c>
      <c r="L40" s="11">
        <v>562</v>
      </c>
      <c r="M40" s="11">
        <v>471</v>
      </c>
      <c r="N40" s="11">
        <v>391</v>
      </c>
      <c r="O40" s="12">
        <v>611</v>
      </c>
      <c r="P40" s="12">
        <v>538</v>
      </c>
      <c r="Q40" s="12">
        <v>556</v>
      </c>
      <c r="R40" s="12">
        <v>490</v>
      </c>
      <c r="S40" s="12">
        <v>794</v>
      </c>
      <c r="T40" s="12">
        <v>714</v>
      </c>
      <c r="U40" s="12">
        <v>658</v>
      </c>
      <c r="V40" s="12">
        <v>590</v>
      </c>
      <c r="W40" s="12">
        <v>821</v>
      </c>
      <c r="X40" s="12">
        <v>707</v>
      </c>
      <c r="Y40" s="12">
        <v>547</v>
      </c>
      <c r="Z40" s="12">
        <v>464</v>
      </c>
      <c r="AA40" s="12">
        <v>282</v>
      </c>
      <c r="AB40" s="12">
        <v>245</v>
      </c>
      <c r="AC40" s="12">
        <v>316</v>
      </c>
      <c r="AD40" s="12">
        <v>274</v>
      </c>
      <c r="AE40" s="12">
        <v>287</v>
      </c>
      <c r="AF40" s="12">
        <v>356</v>
      </c>
      <c r="AG40" s="12">
        <v>327</v>
      </c>
      <c r="AH40" s="12">
        <v>879</v>
      </c>
      <c r="AI40" s="12">
        <v>755</v>
      </c>
      <c r="AJ40" s="12">
        <v>996</v>
      </c>
      <c r="AK40" s="12">
        <v>129</v>
      </c>
      <c r="AL40" s="12">
        <v>942</v>
      </c>
      <c r="AM40" s="12" t="s">
        <v>11</v>
      </c>
      <c r="AN40" s="12" t="s">
        <v>12</v>
      </c>
    </row>
    <row r="41" spans="1:40" x14ac:dyDescent="0.25">
      <c r="A41" s="13" t="s">
        <v>10</v>
      </c>
      <c r="B41" s="11">
        <v>500</v>
      </c>
      <c r="C41" s="11">
        <v>396</v>
      </c>
      <c r="D41" s="11">
        <v>356</v>
      </c>
      <c r="E41" s="11">
        <v>360</v>
      </c>
      <c r="F41" s="11">
        <v>324</v>
      </c>
      <c r="G41" s="11">
        <v>512</v>
      </c>
      <c r="H41" s="11">
        <v>456</v>
      </c>
      <c r="I41" s="11">
        <v>425</v>
      </c>
      <c r="J41" s="11">
        <v>378</v>
      </c>
      <c r="K41" s="11">
        <v>563</v>
      </c>
      <c r="L41" s="11">
        <v>486</v>
      </c>
      <c r="M41" s="11">
        <v>414</v>
      </c>
      <c r="N41" s="11">
        <v>345</v>
      </c>
      <c r="O41" s="12">
        <v>530</v>
      </c>
      <c r="P41" s="12">
        <v>468</v>
      </c>
      <c r="Q41" s="12">
        <v>483</v>
      </c>
      <c r="R41" s="12">
        <v>426</v>
      </c>
      <c r="S41" s="12">
        <v>687</v>
      </c>
      <c r="T41" s="12">
        <v>617</v>
      </c>
      <c r="U41" s="12">
        <v>573</v>
      </c>
      <c r="V41" s="12">
        <v>513</v>
      </c>
      <c r="W41" s="12">
        <v>707</v>
      </c>
      <c r="X41" s="12">
        <v>610</v>
      </c>
      <c r="Y41" s="12">
        <v>482</v>
      </c>
      <c r="Z41" s="12">
        <v>408</v>
      </c>
      <c r="AA41" s="12">
        <v>244</v>
      </c>
      <c r="AB41" s="12">
        <v>212</v>
      </c>
      <c r="AC41" s="12">
        <v>273</v>
      </c>
      <c r="AD41" s="12">
        <v>237</v>
      </c>
      <c r="AE41" s="12">
        <v>247</v>
      </c>
      <c r="AF41" s="12">
        <v>308</v>
      </c>
      <c r="AG41" s="12">
        <v>282</v>
      </c>
      <c r="AH41" s="12">
        <v>756</v>
      </c>
      <c r="AI41" s="12">
        <v>652</v>
      </c>
      <c r="AJ41" s="12">
        <v>856</v>
      </c>
      <c r="AK41" s="12">
        <v>159</v>
      </c>
      <c r="AL41" s="12">
        <v>806</v>
      </c>
      <c r="AM41" s="12">
        <v>991</v>
      </c>
      <c r="AN41" s="12">
        <v>921</v>
      </c>
    </row>
    <row r="42" spans="1:40" x14ac:dyDescent="0.25">
      <c r="A42" s="13" t="s">
        <v>10</v>
      </c>
      <c r="B42" s="11">
        <v>400</v>
      </c>
      <c r="C42" s="11">
        <v>345</v>
      </c>
      <c r="D42" s="11">
        <v>311</v>
      </c>
      <c r="E42" s="11">
        <v>314</v>
      </c>
      <c r="F42" s="11">
        <v>283</v>
      </c>
      <c r="G42" s="11">
        <v>446</v>
      </c>
      <c r="H42" s="11">
        <v>397</v>
      </c>
      <c r="I42" s="11">
        <v>372</v>
      </c>
      <c r="J42" s="11">
        <v>331</v>
      </c>
      <c r="K42" s="11">
        <v>488</v>
      </c>
      <c r="L42" s="11">
        <v>422</v>
      </c>
      <c r="M42" s="11">
        <v>366</v>
      </c>
      <c r="N42" s="11">
        <v>305</v>
      </c>
      <c r="O42" s="12">
        <v>462</v>
      </c>
      <c r="P42" s="12">
        <v>409</v>
      </c>
      <c r="Q42" s="12">
        <v>421</v>
      </c>
      <c r="R42" s="12">
        <v>372</v>
      </c>
      <c r="S42" s="12">
        <v>597</v>
      </c>
      <c r="T42" s="12">
        <v>536</v>
      </c>
      <c r="U42" s="12">
        <v>500</v>
      </c>
      <c r="V42" s="12">
        <v>448</v>
      </c>
      <c r="W42" s="12">
        <v>612</v>
      </c>
      <c r="X42" s="12">
        <v>529</v>
      </c>
      <c r="Y42" s="12">
        <v>426</v>
      </c>
      <c r="Z42" s="12">
        <v>361</v>
      </c>
      <c r="AA42" s="12">
        <v>210</v>
      </c>
      <c r="AB42" s="12">
        <v>183</v>
      </c>
      <c r="AC42" s="12">
        <v>235</v>
      </c>
      <c r="AD42" s="12">
        <v>203</v>
      </c>
      <c r="AE42" s="12">
        <v>212</v>
      </c>
      <c r="AF42" s="12">
        <v>265</v>
      </c>
      <c r="AG42" s="12">
        <v>241</v>
      </c>
      <c r="AH42" s="12">
        <v>654</v>
      </c>
      <c r="AI42" s="12">
        <v>566</v>
      </c>
      <c r="AJ42" s="12">
        <v>740</v>
      </c>
      <c r="AK42" s="12">
        <v>206</v>
      </c>
      <c r="AL42" s="12">
        <v>694</v>
      </c>
      <c r="AM42" s="12">
        <v>856</v>
      </c>
      <c r="AN42" s="12">
        <v>792</v>
      </c>
    </row>
    <row r="43" spans="1:40" x14ac:dyDescent="0.25">
      <c r="A43" s="13" t="s">
        <v>10</v>
      </c>
      <c r="B43" s="11">
        <v>300</v>
      </c>
      <c r="C43" s="11">
        <v>289</v>
      </c>
      <c r="D43" s="11">
        <v>261</v>
      </c>
      <c r="E43" s="11">
        <v>263</v>
      </c>
      <c r="F43" s="11">
        <v>237</v>
      </c>
      <c r="G43" s="11">
        <v>372</v>
      </c>
      <c r="H43" s="11">
        <v>331</v>
      </c>
      <c r="I43" s="11">
        <v>313</v>
      </c>
      <c r="J43" s="11">
        <v>278</v>
      </c>
      <c r="K43" s="11">
        <v>406</v>
      </c>
      <c r="L43" s="11">
        <v>351</v>
      </c>
      <c r="M43" s="11">
        <v>313</v>
      </c>
      <c r="N43" s="11">
        <v>260</v>
      </c>
      <c r="O43" s="12">
        <v>387</v>
      </c>
      <c r="P43" s="12">
        <v>344</v>
      </c>
      <c r="Q43" s="12">
        <v>352</v>
      </c>
      <c r="R43" s="12">
        <v>313</v>
      </c>
      <c r="S43" s="12">
        <v>499</v>
      </c>
      <c r="T43" s="12">
        <v>447</v>
      </c>
      <c r="U43" s="12">
        <v>421</v>
      </c>
      <c r="V43" s="12">
        <v>377</v>
      </c>
      <c r="W43" s="12">
        <v>508</v>
      </c>
      <c r="X43" s="12">
        <v>440</v>
      </c>
      <c r="Y43" s="12">
        <v>364</v>
      </c>
      <c r="Z43" s="12">
        <v>308</v>
      </c>
      <c r="AA43" s="12">
        <v>173</v>
      </c>
      <c r="AB43" s="12">
        <v>150</v>
      </c>
      <c r="AC43" s="12">
        <v>192</v>
      </c>
      <c r="AD43" s="12">
        <v>166</v>
      </c>
      <c r="AE43" s="12">
        <v>173</v>
      </c>
      <c r="AF43" s="12">
        <v>217</v>
      </c>
      <c r="AG43" s="12">
        <v>196</v>
      </c>
      <c r="AH43" s="12">
        <v>543</v>
      </c>
      <c r="AI43" s="12">
        <v>471</v>
      </c>
      <c r="AJ43" s="12">
        <v>613</v>
      </c>
      <c r="AK43" s="12">
        <v>253</v>
      </c>
      <c r="AL43" s="12">
        <v>571</v>
      </c>
      <c r="AM43" s="12">
        <v>708</v>
      </c>
      <c r="AN43" s="12">
        <v>652</v>
      </c>
    </row>
    <row r="44" spans="1:40" x14ac:dyDescent="0.25">
      <c r="A44" s="13" t="s">
        <v>10</v>
      </c>
      <c r="B44" s="11">
        <v>240</v>
      </c>
      <c r="C44" s="11">
        <v>252</v>
      </c>
      <c r="D44" s="11">
        <v>227</v>
      </c>
      <c r="E44" s="11">
        <v>229</v>
      </c>
      <c r="F44" s="11">
        <v>207</v>
      </c>
      <c r="G44" s="11">
        <v>324</v>
      </c>
      <c r="H44" s="11">
        <v>288</v>
      </c>
      <c r="I44" s="11">
        <v>274</v>
      </c>
      <c r="J44" s="11">
        <v>243</v>
      </c>
      <c r="K44" s="11">
        <v>352</v>
      </c>
      <c r="L44" s="11">
        <v>305</v>
      </c>
      <c r="M44" s="11">
        <v>277</v>
      </c>
      <c r="N44" s="11">
        <v>230</v>
      </c>
      <c r="O44" s="12">
        <v>338</v>
      </c>
      <c r="P44" s="12">
        <v>300</v>
      </c>
      <c r="Q44" s="12">
        <v>307</v>
      </c>
      <c r="R44" s="12">
        <v>273</v>
      </c>
      <c r="S44" s="12">
        <v>433</v>
      </c>
      <c r="T44" s="12">
        <v>389</v>
      </c>
      <c r="U44" s="12">
        <v>368</v>
      </c>
      <c r="V44" s="12">
        <v>329</v>
      </c>
      <c r="W44" s="12">
        <v>439</v>
      </c>
      <c r="X44" s="12">
        <v>382</v>
      </c>
      <c r="Y44" s="12">
        <v>322</v>
      </c>
      <c r="Z44" s="12">
        <v>272</v>
      </c>
      <c r="AA44" s="12">
        <v>135</v>
      </c>
      <c r="AB44" s="12">
        <v>117</v>
      </c>
      <c r="AC44" s="12">
        <v>149</v>
      </c>
      <c r="AD44" s="12">
        <v>128</v>
      </c>
      <c r="AE44" s="12">
        <v>133</v>
      </c>
      <c r="AF44" s="12">
        <v>169</v>
      </c>
      <c r="AG44" s="12">
        <v>152</v>
      </c>
      <c r="AH44" s="12">
        <v>470</v>
      </c>
      <c r="AI44" s="12">
        <v>409</v>
      </c>
      <c r="AJ44" s="12">
        <v>530</v>
      </c>
      <c r="AK44" s="12">
        <v>296</v>
      </c>
      <c r="AL44" s="12">
        <v>492</v>
      </c>
      <c r="AM44" s="12">
        <v>611</v>
      </c>
      <c r="AN44" s="12">
        <v>561</v>
      </c>
    </row>
    <row r="45" spans="1:40" x14ac:dyDescent="0.25">
      <c r="A45" s="13" t="s">
        <v>10</v>
      </c>
      <c r="B45" s="11">
        <v>185</v>
      </c>
      <c r="C45" s="11">
        <v>215</v>
      </c>
      <c r="D45" s="11">
        <v>194</v>
      </c>
      <c r="E45" s="11">
        <v>195</v>
      </c>
      <c r="F45" s="11">
        <v>176</v>
      </c>
      <c r="G45" s="11">
        <v>275</v>
      </c>
      <c r="H45" s="11">
        <v>245</v>
      </c>
      <c r="I45" s="11">
        <v>234</v>
      </c>
      <c r="J45" s="11">
        <v>208</v>
      </c>
      <c r="K45" s="11">
        <v>298</v>
      </c>
      <c r="L45" s="11">
        <v>259</v>
      </c>
      <c r="M45" s="11">
        <v>240</v>
      </c>
      <c r="N45" s="11">
        <v>200</v>
      </c>
      <c r="O45" s="12">
        <v>288</v>
      </c>
      <c r="P45" s="12">
        <v>256</v>
      </c>
      <c r="Q45" s="12">
        <v>262</v>
      </c>
      <c r="R45" s="12">
        <v>233</v>
      </c>
      <c r="S45" s="12">
        <v>368</v>
      </c>
      <c r="T45" s="12">
        <v>330</v>
      </c>
      <c r="U45" s="12">
        <v>314</v>
      </c>
      <c r="V45" s="12">
        <v>281</v>
      </c>
      <c r="W45" s="12">
        <v>371</v>
      </c>
      <c r="X45" s="12">
        <v>323</v>
      </c>
      <c r="Y45" s="12">
        <v>279</v>
      </c>
      <c r="Z45" s="12">
        <v>236</v>
      </c>
      <c r="AA45" s="12">
        <v>111</v>
      </c>
      <c r="AB45" s="12">
        <v>96</v>
      </c>
      <c r="AC45" s="12">
        <v>122</v>
      </c>
      <c r="AD45" s="12">
        <v>105</v>
      </c>
      <c r="AE45" s="12">
        <v>109</v>
      </c>
      <c r="AF45" s="12">
        <v>139</v>
      </c>
      <c r="AG45" s="12">
        <v>124</v>
      </c>
      <c r="AH45" s="12">
        <v>397</v>
      </c>
      <c r="AI45" s="12">
        <v>347</v>
      </c>
      <c r="AJ45" s="12">
        <v>447</v>
      </c>
      <c r="AK45" s="12">
        <v>343</v>
      </c>
      <c r="AL45" s="12">
        <v>413</v>
      </c>
      <c r="AM45" s="12">
        <v>515</v>
      </c>
      <c r="AN45" s="12">
        <v>470</v>
      </c>
    </row>
    <row r="46" spans="1:40" x14ac:dyDescent="0.25">
      <c r="A46" s="13" t="s">
        <v>10</v>
      </c>
      <c r="B46" s="11">
        <v>150</v>
      </c>
      <c r="C46" s="11">
        <v>189</v>
      </c>
      <c r="D46" s="11">
        <v>170</v>
      </c>
      <c r="E46" s="11">
        <v>172</v>
      </c>
      <c r="F46" s="11">
        <v>155</v>
      </c>
      <c r="G46" s="11">
        <v>241</v>
      </c>
      <c r="H46" s="11">
        <v>214</v>
      </c>
      <c r="I46" s="11">
        <v>206</v>
      </c>
      <c r="J46" s="11">
        <v>183</v>
      </c>
      <c r="K46" s="11">
        <v>261</v>
      </c>
      <c r="L46" s="11">
        <v>227</v>
      </c>
      <c r="M46" s="11">
        <v>213</v>
      </c>
      <c r="N46" s="11">
        <v>178</v>
      </c>
      <c r="O46" s="12">
        <v>253</v>
      </c>
      <c r="P46" s="12">
        <v>226</v>
      </c>
      <c r="Q46" s="12">
        <v>230</v>
      </c>
      <c r="R46" s="12">
        <v>206</v>
      </c>
      <c r="S46" s="12">
        <v>323</v>
      </c>
      <c r="T46" s="12">
        <v>289</v>
      </c>
      <c r="U46" s="12">
        <v>277</v>
      </c>
      <c r="V46" s="12">
        <v>248</v>
      </c>
      <c r="W46" s="12">
        <v>324</v>
      </c>
      <c r="X46" s="12">
        <v>283</v>
      </c>
      <c r="Y46" s="12">
        <v>249</v>
      </c>
      <c r="Z46" s="12">
        <v>210</v>
      </c>
      <c r="AA46" s="12">
        <v>89</v>
      </c>
      <c r="AB46" s="12">
        <v>78</v>
      </c>
      <c r="AC46" s="12">
        <v>98</v>
      </c>
      <c r="AD46" s="12">
        <v>84</v>
      </c>
      <c r="AE46" s="12">
        <v>87</v>
      </c>
      <c r="AF46" s="12">
        <v>112</v>
      </c>
      <c r="AG46" s="12">
        <v>99</v>
      </c>
      <c r="AH46" s="12">
        <v>346</v>
      </c>
      <c r="AI46" s="12">
        <v>304</v>
      </c>
      <c r="AJ46" s="12">
        <v>389</v>
      </c>
      <c r="AK46" s="12">
        <v>395</v>
      </c>
      <c r="AL46" s="12">
        <v>358</v>
      </c>
      <c r="AM46" s="12">
        <v>448</v>
      </c>
      <c r="AN46" s="12">
        <v>408</v>
      </c>
    </row>
    <row r="47" spans="1:40" x14ac:dyDescent="0.25">
      <c r="A47" s="13" t="s">
        <v>10</v>
      </c>
      <c r="B47" s="11">
        <v>120</v>
      </c>
      <c r="C47" s="11">
        <v>164</v>
      </c>
      <c r="D47" s="11">
        <v>149</v>
      </c>
      <c r="E47" s="11">
        <v>150</v>
      </c>
      <c r="F47" s="11">
        <v>135</v>
      </c>
      <c r="G47" s="11">
        <v>210</v>
      </c>
      <c r="H47" s="11">
        <v>186</v>
      </c>
      <c r="I47" s="11">
        <v>181</v>
      </c>
      <c r="J47" s="11">
        <v>160</v>
      </c>
      <c r="K47" s="11">
        <v>226</v>
      </c>
      <c r="L47" s="11">
        <v>197</v>
      </c>
      <c r="M47" s="11">
        <v>189</v>
      </c>
      <c r="N47" s="11">
        <v>157</v>
      </c>
      <c r="O47" s="12">
        <v>220</v>
      </c>
      <c r="P47" s="12">
        <v>197</v>
      </c>
      <c r="Q47" s="12">
        <v>201</v>
      </c>
      <c r="R47" s="12">
        <v>180</v>
      </c>
      <c r="S47" s="12">
        <v>281</v>
      </c>
      <c r="T47" s="12">
        <v>251</v>
      </c>
      <c r="U47" s="12">
        <v>242</v>
      </c>
      <c r="V47" s="12">
        <v>216</v>
      </c>
      <c r="W47" s="12">
        <v>280</v>
      </c>
      <c r="X47" s="12">
        <v>245</v>
      </c>
      <c r="Y47" s="12">
        <v>220</v>
      </c>
      <c r="Z47" s="12">
        <v>186</v>
      </c>
      <c r="AA47" s="12">
        <v>73</v>
      </c>
      <c r="AB47" s="12">
        <v>61</v>
      </c>
      <c r="AC47" s="12">
        <v>73</v>
      </c>
      <c r="AD47" s="12">
        <v>62</v>
      </c>
      <c r="AE47" s="12">
        <v>65</v>
      </c>
      <c r="AF47" s="12">
        <v>84</v>
      </c>
      <c r="AG47" s="12">
        <v>73</v>
      </c>
      <c r="AH47" s="12">
        <v>300</v>
      </c>
      <c r="AI47" s="12">
        <v>263</v>
      </c>
      <c r="AJ47" s="12">
        <v>337</v>
      </c>
      <c r="AK47" s="12">
        <v>471</v>
      </c>
      <c r="AL47" s="12">
        <v>308</v>
      </c>
      <c r="AM47" s="12">
        <v>387</v>
      </c>
      <c r="AN47" s="12">
        <v>351</v>
      </c>
    </row>
    <row r="48" spans="1:40" x14ac:dyDescent="0.25">
      <c r="A48" s="13" t="s">
        <v>10</v>
      </c>
      <c r="B48" s="11">
        <v>95</v>
      </c>
      <c r="C48" s="11">
        <v>142</v>
      </c>
      <c r="D48" s="11">
        <v>129</v>
      </c>
      <c r="E48" s="11">
        <v>130</v>
      </c>
      <c r="F48" s="11">
        <v>118</v>
      </c>
      <c r="G48" s="11">
        <v>181</v>
      </c>
      <c r="H48" s="11">
        <v>161</v>
      </c>
      <c r="I48" s="11">
        <v>157</v>
      </c>
      <c r="J48" s="11">
        <v>139</v>
      </c>
      <c r="K48" s="11">
        <v>195</v>
      </c>
      <c r="L48" s="11">
        <v>170</v>
      </c>
      <c r="M48" s="11">
        <v>166</v>
      </c>
      <c r="N48" s="11">
        <v>138</v>
      </c>
      <c r="O48" s="12">
        <v>191</v>
      </c>
      <c r="P48" s="12">
        <v>171</v>
      </c>
      <c r="Q48" s="12">
        <v>175</v>
      </c>
      <c r="R48" s="12">
        <v>157</v>
      </c>
      <c r="S48" s="12">
        <v>242</v>
      </c>
      <c r="T48" s="12">
        <v>217</v>
      </c>
      <c r="U48" s="12">
        <v>210</v>
      </c>
      <c r="V48" s="12">
        <v>188</v>
      </c>
      <c r="W48" s="12">
        <v>241</v>
      </c>
      <c r="X48" s="12">
        <v>211</v>
      </c>
      <c r="Y48" s="12">
        <v>193</v>
      </c>
      <c r="Z48" s="12">
        <v>164</v>
      </c>
      <c r="AA48" s="18">
        <v>0</v>
      </c>
      <c r="AB48" s="18">
        <v>0</v>
      </c>
      <c r="AC48" s="18">
        <v>0</v>
      </c>
      <c r="AD48" s="18">
        <v>0</v>
      </c>
      <c r="AE48" s="18">
        <v>0</v>
      </c>
      <c r="AF48" s="18">
        <v>0</v>
      </c>
      <c r="AG48" s="18">
        <v>0</v>
      </c>
      <c r="AH48" s="12">
        <v>257</v>
      </c>
      <c r="AI48" s="12">
        <v>227</v>
      </c>
      <c r="AJ48" s="12">
        <v>289</v>
      </c>
      <c r="AK48" s="12">
        <v>547</v>
      </c>
      <c r="AL48" s="12">
        <v>264</v>
      </c>
      <c r="AM48" s="12">
        <v>332</v>
      </c>
      <c r="AN48" s="12">
        <v>300</v>
      </c>
    </row>
    <row r="49" spans="1:40" x14ac:dyDescent="0.25">
      <c r="A49" s="13" t="s">
        <v>10</v>
      </c>
      <c r="B49" s="11">
        <v>70</v>
      </c>
      <c r="C49" s="11">
        <v>118</v>
      </c>
      <c r="D49" s="11">
        <v>107</v>
      </c>
      <c r="E49" s="11">
        <v>108</v>
      </c>
      <c r="F49" s="11">
        <v>98</v>
      </c>
      <c r="G49" s="11">
        <v>150</v>
      </c>
      <c r="H49" s="11">
        <v>133</v>
      </c>
      <c r="I49" s="11">
        <v>131</v>
      </c>
      <c r="J49" s="11">
        <v>116</v>
      </c>
      <c r="K49" s="11">
        <v>160</v>
      </c>
      <c r="L49" s="11">
        <v>140</v>
      </c>
      <c r="M49" s="11">
        <v>140</v>
      </c>
      <c r="N49" s="11">
        <v>117</v>
      </c>
      <c r="O49" s="12">
        <v>158</v>
      </c>
      <c r="P49" s="12">
        <v>142</v>
      </c>
      <c r="Q49" s="12">
        <v>145</v>
      </c>
      <c r="R49" s="12">
        <v>131</v>
      </c>
      <c r="S49" s="12">
        <v>200</v>
      </c>
      <c r="T49" s="12">
        <v>179</v>
      </c>
      <c r="U49" s="12">
        <v>175</v>
      </c>
      <c r="V49" s="12">
        <v>156</v>
      </c>
      <c r="W49" s="12">
        <v>198</v>
      </c>
      <c r="X49" s="12">
        <v>174</v>
      </c>
      <c r="Y49" s="12">
        <v>163</v>
      </c>
      <c r="Z49" s="12">
        <v>138</v>
      </c>
      <c r="AA49" s="18">
        <v>0</v>
      </c>
      <c r="AB49" s="18">
        <v>0</v>
      </c>
      <c r="AC49" s="18">
        <v>0</v>
      </c>
      <c r="AD49" s="18">
        <v>0</v>
      </c>
      <c r="AE49" s="18">
        <v>0</v>
      </c>
      <c r="AF49" s="18">
        <v>0</v>
      </c>
      <c r="AG49" s="18">
        <v>0</v>
      </c>
      <c r="AH49" s="12">
        <v>211</v>
      </c>
      <c r="AI49" s="12">
        <v>187</v>
      </c>
      <c r="AJ49" s="12">
        <v>237</v>
      </c>
      <c r="AK49" s="12">
        <v>663</v>
      </c>
      <c r="AL49" s="12">
        <v>215</v>
      </c>
      <c r="AM49" s="12">
        <v>271</v>
      </c>
      <c r="AN49" s="12">
        <v>244</v>
      </c>
    </row>
    <row r="50" spans="1:40" x14ac:dyDescent="0.25">
      <c r="A50" s="13" t="s">
        <v>10</v>
      </c>
      <c r="B50" s="11">
        <v>50</v>
      </c>
      <c r="C50" s="11">
        <v>93</v>
      </c>
      <c r="D50" s="11">
        <v>84</v>
      </c>
      <c r="E50" s="11">
        <v>86</v>
      </c>
      <c r="F50" s="11">
        <v>78</v>
      </c>
      <c r="G50" s="11">
        <v>118</v>
      </c>
      <c r="H50" s="11">
        <v>104</v>
      </c>
      <c r="I50" s="11">
        <v>104</v>
      </c>
      <c r="J50" s="11">
        <v>92</v>
      </c>
      <c r="K50" s="11">
        <v>125</v>
      </c>
      <c r="L50" s="11">
        <v>110</v>
      </c>
      <c r="M50" s="11">
        <v>113</v>
      </c>
      <c r="N50" s="11">
        <v>94</v>
      </c>
      <c r="O50" s="12">
        <v>125</v>
      </c>
      <c r="P50" s="12">
        <v>113</v>
      </c>
      <c r="Q50" s="12">
        <v>115</v>
      </c>
      <c r="R50" s="12">
        <v>104</v>
      </c>
      <c r="S50" s="12">
        <v>157</v>
      </c>
      <c r="T50" s="12">
        <v>140</v>
      </c>
      <c r="U50" s="12">
        <v>138</v>
      </c>
      <c r="V50" s="12">
        <v>124</v>
      </c>
      <c r="W50" s="12">
        <v>154</v>
      </c>
      <c r="X50" s="12">
        <v>136</v>
      </c>
      <c r="Y50" s="12">
        <v>132</v>
      </c>
      <c r="Z50" s="12">
        <v>112</v>
      </c>
      <c r="AA50" s="18">
        <v>0</v>
      </c>
      <c r="AB50" s="18">
        <v>0</v>
      </c>
      <c r="AC50" s="18">
        <v>0</v>
      </c>
      <c r="AD50" s="18">
        <v>0</v>
      </c>
      <c r="AE50" s="18">
        <v>0</v>
      </c>
      <c r="AF50" s="18">
        <v>0</v>
      </c>
      <c r="AG50" s="18">
        <v>0</v>
      </c>
      <c r="AH50" s="12">
        <v>164</v>
      </c>
      <c r="AI50" s="12">
        <v>146</v>
      </c>
      <c r="AJ50" s="12">
        <v>184</v>
      </c>
      <c r="AK50" s="12">
        <v>770</v>
      </c>
      <c r="AL50" s="12">
        <v>165</v>
      </c>
      <c r="AM50" s="12">
        <v>210</v>
      </c>
      <c r="AN50" s="12">
        <v>188</v>
      </c>
    </row>
    <row r="51" spans="1:40" x14ac:dyDescent="0.25">
      <c r="A51" s="13" t="s">
        <v>10</v>
      </c>
      <c r="B51" s="11">
        <v>35</v>
      </c>
      <c r="C51" s="11">
        <v>77</v>
      </c>
      <c r="D51" s="11">
        <v>70</v>
      </c>
      <c r="E51" s="11">
        <v>71</v>
      </c>
      <c r="F51" s="11">
        <v>65</v>
      </c>
      <c r="G51" s="11">
        <v>97</v>
      </c>
      <c r="H51" s="11">
        <v>86</v>
      </c>
      <c r="I51" s="11">
        <v>86</v>
      </c>
      <c r="J51" s="11">
        <v>77</v>
      </c>
      <c r="K51" s="11">
        <v>103</v>
      </c>
      <c r="L51" s="11">
        <v>90</v>
      </c>
      <c r="M51" s="11">
        <v>96</v>
      </c>
      <c r="N51" s="11">
        <v>80</v>
      </c>
      <c r="O51" s="12">
        <v>103</v>
      </c>
      <c r="P51" s="12">
        <v>94</v>
      </c>
      <c r="Q51" s="12">
        <v>96</v>
      </c>
      <c r="R51" s="12">
        <v>87</v>
      </c>
      <c r="S51" s="12">
        <v>130</v>
      </c>
      <c r="T51" s="12">
        <v>116</v>
      </c>
      <c r="U51" s="12">
        <v>115</v>
      </c>
      <c r="V51" s="12">
        <v>103</v>
      </c>
      <c r="W51" s="12">
        <v>126</v>
      </c>
      <c r="X51" s="12">
        <v>112</v>
      </c>
      <c r="Y51" s="12">
        <v>112</v>
      </c>
      <c r="Z51" s="12">
        <v>94</v>
      </c>
      <c r="AA51" s="18">
        <v>0</v>
      </c>
      <c r="AB51" s="18">
        <v>0</v>
      </c>
      <c r="AC51" s="18">
        <v>0</v>
      </c>
      <c r="AD51" s="18">
        <v>0</v>
      </c>
      <c r="AE51" s="18">
        <v>0</v>
      </c>
      <c r="AF51" s="18">
        <v>0</v>
      </c>
      <c r="AG51" s="18">
        <v>0</v>
      </c>
      <c r="AH51" s="12">
        <v>135</v>
      </c>
      <c r="AI51" s="12">
        <v>120</v>
      </c>
      <c r="AJ51" s="12">
        <v>150</v>
      </c>
      <c r="AK51" s="12">
        <v>899</v>
      </c>
      <c r="AL51" s="12">
        <v>135</v>
      </c>
      <c r="AM51" s="12">
        <v>172</v>
      </c>
      <c r="AN51" s="12">
        <v>153</v>
      </c>
    </row>
    <row r="52" spans="1:40" x14ac:dyDescent="0.25">
      <c r="A52" s="13" t="s">
        <v>10</v>
      </c>
      <c r="B52" s="11">
        <v>25</v>
      </c>
      <c r="C52" s="11">
        <v>63</v>
      </c>
      <c r="D52" s="11">
        <v>57</v>
      </c>
      <c r="E52" s="11">
        <v>58</v>
      </c>
      <c r="F52" s="11">
        <v>53</v>
      </c>
      <c r="G52" s="11">
        <v>79</v>
      </c>
      <c r="H52" s="11">
        <v>70</v>
      </c>
      <c r="I52" s="11">
        <v>71</v>
      </c>
      <c r="J52" s="11">
        <v>62</v>
      </c>
      <c r="K52" s="11">
        <v>83</v>
      </c>
      <c r="L52" s="11">
        <v>73</v>
      </c>
      <c r="M52" s="11">
        <v>80</v>
      </c>
      <c r="N52" s="11">
        <v>66</v>
      </c>
      <c r="O52" s="12">
        <v>84</v>
      </c>
      <c r="P52" s="12">
        <v>76</v>
      </c>
      <c r="Q52" s="12">
        <v>78</v>
      </c>
      <c r="R52" s="12">
        <v>71</v>
      </c>
      <c r="S52" s="12">
        <v>105</v>
      </c>
      <c r="T52" s="12">
        <v>93</v>
      </c>
      <c r="U52" s="12">
        <v>94</v>
      </c>
      <c r="V52" s="12">
        <v>84</v>
      </c>
      <c r="W52" s="12">
        <v>101</v>
      </c>
      <c r="X52" s="12">
        <v>90</v>
      </c>
      <c r="Y52" s="12">
        <v>93</v>
      </c>
      <c r="Z52" s="12">
        <v>78</v>
      </c>
      <c r="AA52" s="18">
        <v>0</v>
      </c>
      <c r="AB52" s="18">
        <v>0</v>
      </c>
      <c r="AC52" s="18">
        <v>0</v>
      </c>
      <c r="AD52" s="18">
        <v>0</v>
      </c>
      <c r="AE52" s="18">
        <v>0</v>
      </c>
      <c r="AF52" s="18">
        <v>0</v>
      </c>
      <c r="AG52" s="18">
        <v>0</v>
      </c>
      <c r="AH52" s="12">
        <v>108</v>
      </c>
      <c r="AI52" s="12">
        <v>97</v>
      </c>
      <c r="AJ52" s="12">
        <v>121</v>
      </c>
      <c r="AK52" s="12" t="s">
        <v>15</v>
      </c>
      <c r="AL52" s="12">
        <v>107</v>
      </c>
      <c r="AM52" s="12">
        <v>138</v>
      </c>
      <c r="AN52" s="12">
        <v>122</v>
      </c>
    </row>
    <row r="53" spans="1:40" x14ac:dyDescent="0.25">
      <c r="A53" s="13" t="s">
        <v>10</v>
      </c>
      <c r="B53" s="11">
        <v>16</v>
      </c>
      <c r="C53" s="11">
        <v>48</v>
      </c>
      <c r="D53" s="11">
        <v>43</v>
      </c>
      <c r="E53" s="11">
        <v>44</v>
      </c>
      <c r="F53" s="11">
        <v>41</v>
      </c>
      <c r="G53" s="11">
        <v>60</v>
      </c>
      <c r="H53" s="11">
        <v>53</v>
      </c>
      <c r="I53" s="11">
        <v>54</v>
      </c>
      <c r="J53" s="11">
        <v>48</v>
      </c>
      <c r="K53" s="11">
        <v>66</v>
      </c>
      <c r="L53" s="11">
        <v>59</v>
      </c>
      <c r="M53" s="11">
        <v>62</v>
      </c>
      <c r="N53" s="11">
        <v>52</v>
      </c>
      <c r="O53" s="12">
        <v>64</v>
      </c>
      <c r="P53" s="12">
        <v>58</v>
      </c>
      <c r="Q53" s="12">
        <v>60</v>
      </c>
      <c r="R53" s="12">
        <v>55</v>
      </c>
      <c r="S53" s="12">
        <v>79</v>
      </c>
      <c r="T53" s="12">
        <v>71</v>
      </c>
      <c r="U53" s="12">
        <v>72</v>
      </c>
      <c r="V53" s="12">
        <v>64</v>
      </c>
      <c r="W53" s="12">
        <v>84</v>
      </c>
      <c r="X53" s="12">
        <v>76</v>
      </c>
      <c r="Y53" s="12">
        <v>73</v>
      </c>
      <c r="Z53" s="12">
        <v>61</v>
      </c>
      <c r="AA53" s="18">
        <v>0</v>
      </c>
      <c r="AB53" s="18">
        <v>0</v>
      </c>
      <c r="AC53" s="18">
        <v>0</v>
      </c>
      <c r="AD53" s="18">
        <v>0</v>
      </c>
      <c r="AE53" s="18">
        <v>0</v>
      </c>
      <c r="AF53" s="18">
        <v>0</v>
      </c>
      <c r="AG53" s="18">
        <v>0</v>
      </c>
      <c r="AH53" s="12">
        <v>91</v>
      </c>
      <c r="AI53" s="12">
        <v>77</v>
      </c>
      <c r="AJ53" s="12">
        <v>90</v>
      </c>
      <c r="AK53" s="12" t="s">
        <v>21</v>
      </c>
      <c r="AL53" s="12">
        <v>79</v>
      </c>
      <c r="AM53" s="12">
        <v>103</v>
      </c>
      <c r="AN53" s="12">
        <v>90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J18"/>
  <sheetViews>
    <sheetView topLeftCell="B1" workbookViewId="0">
      <selection activeCell="AC1" sqref="AC1"/>
    </sheetView>
  </sheetViews>
  <sheetFormatPr defaultRowHeight="15" x14ac:dyDescent="0.25"/>
  <cols>
    <col min="1" max="1" width="4.85546875" customWidth="1"/>
    <col min="2" max="2" width="35" customWidth="1"/>
    <col min="3" max="27" width="5.7109375" customWidth="1"/>
    <col min="28" max="28" width="3" customWidth="1"/>
    <col min="44" max="44" width="4.140625" customWidth="1"/>
    <col min="47" max="47" width="10.42578125" customWidth="1"/>
    <col min="51" max="51" width="3.7109375" customWidth="1"/>
    <col min="57" max="57" width="4.28515625" customWidth="1"/>
  </cols>
  <sheetData>
    <row r="1" spans="1:62" x14ac:dyDescent="0.2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</row>
    <row r="2" spans="1:62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</row>
    <row r="3" spans="1:62" ht="15.75" thickBot="1" x14ac:dyDescent="0.3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</row>
    <row r="4" spans="1:62" ht="15.75" thickBot="1" x14ac:dyDescent="0.3">
      <c r="A4" s="28" t="s">
        <v>103</v>
      </c>
      <c r="B4" s="29" t="s">
        <v>108</v>
      </c>
      <c r="C4" s="29">
        <v>1</v>
      </c>
      <c r="D4" s="29">
        <v>2</v>
      </c>
      <c r="E4" s="29">
        <v>3</v>
      </c>
      <c r="F4" s="29">
        <v>4</v>
      </c>
      <c r="G4" s="29">
        <v>5</v>
      </c>
      <c r="H4" s="29">
        <v>6</v>
      </c>
      <c r="I4" s="29">
        <v>7</v>
      </c>
      <c r="J4" s="29">
        <v>8</v>
      </c>
      <c r="K4" s="29">
        <v>9</v>
      </c>
      <c r="L4" s="29">
        <v>10</v>
      </c>
      <c r="M4" s="29">
        <v>11</v>
      </c>
      <c r="N4" s="29">
        <v>12</v>
      </c>
      <c r="O4" s="29">
        <v>13</v>
      </c>
      <c r="P4" s="29">
        <v>14</v>
      </c>
      <c r="Q4" s="29">
        <v>15</v>
      </c>
      <c r="R4" s="29">
        <v>16</v>
      </c>
      <c r="S4" s="29">
        <v>17</v>
      </c>
      <c r="T4" s="29">
        <v>18</v>
      </c>
      <c r="U4" s="29">
        <v>19</v>
      </c>
      <c r="V4" s="29">
        <v>20</v>
      </c>
      <c r="W4" s="29">
        <v>21</v>
      </c>
      <c r="X4" s="29">
        <v>22</v>
      </c>
      <c r="Y4" s="29">
        <v>23</v>
      </c>
      <c r="Z4" s="29">
        <v>24</v>
      </c>
      <c r="AA4" s="30">
        <v>25</v>
      </c>
      <c r="AC4" s="33" t="s">
        <v>111</v>
      </c>
      <c r="AD4" s="34">
        <v>2</v>
      </c>
      <c r="AE4" s="34">
        <v>3</v>
      </c>
      <c r="AF4" s="34">
        <v>4</v>
      </c>
      <c r="AG4" s="34">
        <v>5</v>
      </c>
      <c r="AH4" s="34">
        <v>6</v>
      </c>
      <c r="AI4" s="34">
        <v>7</v>
      </c>
      <c r="AJ4" s="34">
        <v>8</v>
      </c>
      <c r="AK4" s="34">
        <v>9</v>
      </c>
      <c r="AL4" s="34">
        <v>10</v>
      </c>
      <c r="AM4" s="34">
        <v>11</v>
      </c>
      <c r="AN4" s="34">
        <v>12</v>
      </c>
      <c r="AO4" s="34">
        <v>13</v>
      </c>
      <c r="AP4" s="34">
        <v>14</v>
      </c>
      <c r="AQ4" s="35">
        <v>15</v>
      </c>
      <c r="AS4" s="46" t="s">
        <v>112</v>
      </c>
      <c r="AT4" s="47" t="s">
        <v>113</v>
      </c>
      <c r="AU4" s="47" t="s">
        <v>114</v>
      </c>
      <c r="AV4" s="47" t="s">
        <v>115</v>
      </c>
      <c r="AW4" s="47" t="s">
        <v>116</v>
      </c>
      <c r="AX4" s="48" t="s">
        <v>117</v>
      </c>
      <c r="AZ4" s="50" t="s">
        <v>112</v>
      </c>
      <c r="BA4" s="51" t="s">
        <v>113</v>
      </c>
      <c r="BB4" s="51" t="s">
        <v>116</v>
      </c>
      <c r="BC4" s="51" t="s">
        <v>117</v>
      </c>
      <c r="BD4" s="52" t="s">
        <v>118</v>
      </c>
      <c r="BF4" s="50" t="s">
        <v>112</v>
      </c>
      <c r="BG4" s="51" t="s">
        <v>113</v>
      </c>
      <c r="BH4" s="51" t="s">
        <v>116</v>
      </c>
      <c r="BI4" s="51" t="s">
        <v>117</v>
      </c>
      <c r="BJ4" s="52" t="s">
        <v>118</v>
      </c>
    </row>
    <row r="5" spans="1:62" ht="45" customHeight="1" x14ac:dyDescent="0.25">
      <c r="A5" s="25">
        <v>1</v>
      </c>
      <c r="B5" s="26" t="s">
        <v>168</v>
      </c>
      <c r="C5" s="26">
        <v>1</v>
      </c>
      <c r="D5" s="26">
        <v>0.8</v>
      </c>
      <c r="E5" s="26">
        <v>0.7</v>
      </c>
      <c r="F5" s="26">
        <v>0.65</v>
      </c>
      <c r="G5" s="26">
        <v>0.6</v>
      </c>
      <c r="H5" s="26">
        <v>0.56999999999999995</v>
      </c>
      <c r="I5" s="26">
        <v>0.54</v>
      </c>
      <c r="J5" s="26">
        <v>0.52</v>
      </c>
      <c r="K5" s="26">
        <v>0.5</v>
      </c>
      <c r="L5" s="26">
        <v>0.5</v>
      </c>
      <c r="M5" s="26">
        <v>0.5</v>
      </c>
      <c r="N5" s="26">
        <v>0.45</v>
      </c>
      <c r="O5" s="26">
        <v>0.45</v>
      </c>
      <c r="P5" s="26">
        <v>0.45</v>
      </c>
      <c r="Q5" s="26">
        <v>0.45</v>
      </c>
      <c r="R5" s="26">
        <v>0.41</v>
      </c>
      <c r="S5" s="26">
        <v>0.41</v>
      </c>
      <c r="T5" s="26">
        <v>0.41</v>
      </c>
      <c r="U5" s="26">
        <v>0.41</v>
      </c>
      <c r="V5" s="26">
        <v>0.38</v>
      </c>
      <c r="W5" s="26">
        <v>0.38</v>
      </c>
      <c r="X5" s="26">
        <v>0.38</v>
      </c>
      <c r="Y5" s="26">
        <v>0.38</v>
      </c>
      <c r="Z5" s="26">
        <v>0.38</v>
      </c>
      <c r="AA5" s="27">
        <v>0.38</v>
      </c>
      <c r="AC5" s="36">
        <v>2</v>
      </c>
      <c r="AD5" s="37">
        <v>0.68</v>
      </c>
      <c r="AE5" s="37">
        <v>0.62</v>
      </c>
      <c r="AF5" s="37">
        <v>0.6</v>
      </c>
      <c r="AG5" s="37">
        <v>0.6</v>
      </c>
      <c r="AH5" s="37">
        <v>0.57999999999999996</v>
      </c>
      <c r="AI5" s="37">
        <v>0.57999999999999996</v>
      </c>
      <c r="AJ5" s="37">
        <v>0.57999999999999996</v>
      </c>
      <c r="AK5" s="37">
        <v>0.56000000000000005</v>
      </c>
      <c r="AL5" s="37">
        <v>0.56000000000000005</v>
      </c>
      <c r="AM5" s="37">
        <v>0.56000000000000005</v>
      </c>
      <c r="AN5" s="37">
        <v>0.56000000000000005</v>
      </c>
      <c r="AO5" s="37">
        <v>0.56000000000000005</v>
      </c>
      <c r="AP5" s="37">
        <v>0.56000000000000005</v>
      </c>
      <c r="AQ5" s="38">
        <v>0.56000000000000005</v>
      </c>
      <c r="AS5" s="44">
        <v>2</v>
      </c>
      <c r="AT5" s="32">
        <v>0.75</v>
      </c>
      <c r="AU5" s="32">
        <v>0.8</v>
      </c>
      <c r="AV5" s="32">
        <v>0.85</v>
      </c>
      <c r="AW5" s="32">
        <v>0.9</v>
      </c>
      <c r="AX5" s="45">
        <v>0.9</v>
      </c>
      <c r="AZ5" s="44">
        <v>2</v>
      </c>
      <c r="BA5" s="32">
        <v>0.85</v>
      </c>
      <c r="BB5" s="32">
        <v>0.9</v>
      </c>
      <c r="BC5" s="32">
        <v>0.95</v>
      </c>
      <c r="BD5" s="45">
        <v>0.95</v>
      </c>
      <c r="BF5" s="44">
        <v>2</v>
      </c>
      <c r="BG5" s="32">
        <v>0.8</v>
      </c>
      <c r="BH5" s="32">
        <v>0.9</v>
      </c>
      <c r="BI5" s="32">
        <v>0.9</v>
      </c>
      <c r="BJ5" s="45">
        <v>0.95</v>
      </c>
    </row>
    <row r="6" spans="1:62" ht="45" customHeight="1" x14ac:dyDescent="0.25">
      <c r="A6" s="20">
        <v>2</v>
      </c>
      <c r="B6" s="19" t="s">
        <v>160</v>
      </c>
      <c r="C6" s="19">
        <v>1</v>
      </c>
      <c r="D6" s="19">
        <v>0.85</v>
      </c>
      <c r="E6" s="19">
        <v>0.79</v>
      </c>
      <c r="F6" s="19">
        <v>0.75</v>
      </c>
      <c r="G6" s="19">
        <v>0.73</v>
      </c>
      <c r="H6" s="19">
        <v>0.72</v>
      </c>
      <c r="I6" s="19">
        <v>0.72</v>
      </c>
      <c r="J6" s="19">
        <v>0.71</v>
      </c>
      <c r="K6" s="19">
        <v>0.7</v>
      </c>
      <c r="L6" s="19">
        <v>0.7</v>
      </c>
      <c r="M6" s="19">
        <v>0.7</v>
      </c>
      <c r="N6" s="19">
        <v>0.7</v>
      </c>
      <c r="O6" s="19">
        <v>0.7</v>
      </c>
      <c r="P6" s="19">
        <v>0.7</v>
      </c>
      <c r="Q6" s="19">
        <v>0.7</v>
      </c>
      <c r="R6" s="19">
        <v>0.7</v>
      </c>
      <c r="S6" s="19">
        <v>0.7</v>
      </c>
      <c r="T6" s="19">
        <v>0.7</v>
      </c>
      <c r="U6" s="19">
        <v>0.7</v>
      </c>
      <c r="V6" s="19">
        <v>0.7</v>
      </c>
      <c r="W6" s="19">
        <v>0.7</v>
      </c>
      <c r="X6" s="19">
        <v>0.7</v>
      </c>
      <c r="Y6" s="19">
        <v>0.7</v>
      </c>
      <c r="Z6" s="19">
        <v>0.7</v>
      </c>
      <c r="AA6" s="21">
        <v>0.7</v>
      </c>
      <c r="AC6" s="39">
        <v>3</v>
      </c>
      <c r="AD6" s="31">
        <v>0.62</v>
      </c>
      <c r="AE6" s="31">
        <v>0.56999999999999995</v>
      </c>
      <c r="AF6" s="31">
        <v>0.55000000000000004</v>
      </c>
      <c r="AG6" s="31">
        <v>0.55000000000000004</v>
      </c>
      <c r="AH6" s="31">
        <v>0.53</v>
      </c>
      <c r="AI6" s="31">
        <v>0.53</v>
      </c>
      <c r="AJ6" s="31">
        <v>0.53</v>
      </c>
      <c r="AK6" s="31">
        <v>0.51</v>
      </c>
      <c r="AL6" s="31">
        <v>0.51</v>
      </c>
      <c r="AM6" s="31">
        <v>0.51</v>
      </c>
      <c r="AN6" s="31">
        <v>0.51</v>
      </c>
      <c r="AO6" s="31">
        <v>0.51</v>
      </c>
      <c r="AP6" s="31">
        <v>0.51</v>
      </c>
      <c r="AQ6" s="40">
        <v>0.51</v>
      </c>
      <c r="AS6" s="39">
        <v>3</v>
      </c>
      <c r="AT6" s="31">
        <v>0.65</v>
      </c>
      <c r="AU6" s="31">
        <v>0.7</v>
      </c>
      <c r="AV6" s="31">
        <v>0.75</v>
      </c>
      <c r="AW6" s="31">
        <v>0.8</v>
      </c>
      <c r="AX6" s="40">
        <v>0.85</v>
      </c>
      <c r="AZ6" s="39">
        <v>3</v>
      </c>
      <c r="BA6" s="31">
        <v>0.75</v>
      </c>
      <c r="BB6" s="31">
        <v>0.85</v>
      </c>
      <c r="BC6" s="31">
        <v>0.9</v>
      </c>
      <c r="BD6" s="40">
        <v>0.95</v>
      </c>
      <c r="BF6" s="39">
        <v>3</v>
      </c>
      <c r="BG6" s="31">
        <v>0.7</v>
      </c>
      <c r="BH6" s="31">
        <v>0.8</v>
      </c>
      <c r="BI6" s="31">
        <v>0.85</v>
      </c>
      <c r="BJ6" s="40">
        <v>0.9</v>
      </c>
    </row>
    <row r="7" spans="1:62" ht="45" customHeight="1" x14ac:dyDescent="0.25">
      <c r="A7" s="20">
        <v>3</v>
      </c>
      <c r="B7" s="19" t="s">
        <v>109</v>
      </c>
      <c r="C7" s="19">
        <v>0.95</v>
      </c>
      <c r="D7" s="19">
        <v>0.81</v>
      </c>
      <c r="E7" s="19">
        <v>0.72</v>
      </c>
      <c r="F7" s="19">
        <v>0.68</v>
      </c>
      <c r="G7" s="19">
        <v>0.66</v>
      </c>
      <c r="H7" s="19">
        <v>0.64</v>
      </c>
      <c r="I7" s="19">
        <v>0.63</v>
      </c>
      <c r="J7" s="19">
        <v>0.62</v>
      </c>
      <c r="K7" s="19">
        <v>0.61</v>
      </c>
      <c r="L7" s="19">
        <v>0.61</v>
      </c>
      <c r="M7" s="19">
        <v>0.61</v>
      </c>
      <c r="N7" s="19">
        <v>0.61</v>
      </c>
      <c r="O7" s="19">
        <v>0.61</v>
      </c>
      <c r="P7" s="19">
        <v>0.61</v>
      </c>
      <c r="Q7" s="19">
        <v>0.61</v>
      </c>
      <c r="R7" s="19">
        <v>0.61</v>
      </c>
      <c r="S7" s="19">
        <v>0.61</v>
      </c>
      <c r="T7" s="19">
        <v>0.61</v>
      </c>
      <c r="U7" s="19">
        <v>0.61</v>
      </c>
      <c r="V7" s="19">
        <v>0.61</v>
      </c>
      <c r="W7" s="19">
        <v>0.61</v>
      </c>
      <c r="X7" s="19">
        <v>0.61</v>
      </c>
      <c r="Y7" s="19">
        <v>0.61</v>
      </c>
      <c r="Z7" s="19">
        <v>0.61</v>
      </c>
      <c r="AA7" s="21">
        <v>0.61</v>
      </c>
      <c r="AC7" s="39">
        <v>4</v>
      </c>
      <c r="AD7" s="31">
        <v>0.6</v>
      </c>
      <c r="AE7" s="31">
        <v>0.55000000000000004</v>
      </c>
      <c r="AF7" s="31">
        <v>0.52</v>
      </c>
      <c r="AG7" s="31">
        <v>0.52</v>
      </c>
      <c r="AH7" s="31">
        <v>0.51</v>
      </c>
      <c r="AI7" s="31">
        <v>0.51</v>
      </c>
      <c r="AJ7" s="31">
        <v>0.51</v>
      </c>
      <c r="AK7" s="31">
        <v>0.49</v>
      </c>
      <c r="AL7" s="31">
        <v>0.49</v>
      </c>
      <c r="AM7" s="31">
        <v>0.49</v>
      </c>
      <c r="AN7" s="31">
        <v>0.49</v>
      </c>
      <c r="AO7" s="31">
        <v>0.49</v>
      </c>
      <c r="AP7" s="31">
        <v>0.49</v>
      </c>
      <c r="AQ7" s="40">
        <v>0.49</v>
      </c>
      <c r="AS7" s="39">
        <v>4</v>
      </c>
      <c r="AT7" s="31">
        <v>0.6</v>
      </c>
      <c r="AU7" s="31">
        <v>0.6</v>
      </c>
      <c r="AV7" s="31">
        <v>0.7</v>
      </c>
      <c r="AW7" s="31">
        <v>0.75</v>
      </c>
      <c r="AX7" s="40">
        <v>0.8</v>
      </c>
      <c r="AZ7" s="39">
        <v>4</v>
      </c>
      <c r="BA7" s="31">
        <v>0.7</v>
      </c>
      <c r="BB7" s="31">
        <v>0.8</v>
      </c>
      <c r="BC7" s="31">
        <v>0.85</v>
      </c>
      <c r="BD7" s="40">
        <v>0.9</v>
      </c>
      <c r="BF7" s="39">
        <v>4</v>
      </c>
      <c r="BG7" s="31">
        <v>0.65</v>
      </c>
      <c r="BH7" s="31">
        <v>0.75</v>
      </c>
      <c r="BI7" s="31">
        <v>0.8</v>
      </c>
      <c r="BJ7" s="40">
        <v>0.9</v>
      </c>
    </row>
    <row r="8" spans="1:62" ht="45" customHeight="1" x14ac:dyDescent="0.25">
      <c r="A8" s="20">
        <v>4</v>
      </c>
      <c r="B8" s="19" t="s">
        <v>110</v>
      </c>
      <c r="C8" s="19">
        <v>1</v>
      </c>
      <c r="D8" s="19">
        <v>0.88</v>
      </c>
      <c r="E8" s="19">
        <v>0.82</v>
      </c>
      <c r="F8" s="19">
        <v>0.77</v>
      </c>
      <c r="G8" s="19">
        <v>0.75</v>
      </c>
      <c r="H8" s="19">
        <v>0.73</v>
      </c>
      <c r="I8" s="19">
        <v>0.73</v>
      </c>
      <c r="J8" s="19">
        <v>0.72</v>
      </c>
      <c r="K8" s="19">
        <v>0.72</v>
      </c>
      <c r="L8" s="19">
        <v>0.72</v>
      </c>
      <c r="M8" s="19">
        <v>0.72</v>
      </c>
      <c r="N8" s="19">
        <v>0.72</v>
      </c>
      <c r="O8" s="19">
        <v>0.72</v>
      </c>
      <c r="P8" s="19">
        <v>0.72</v>
      </c>
      <c r="Q8" s="19">
        <v>0.72</v>
      </c>
      <c r="R8" s="19">
        <v>0.72</v>
      </c>
      <c r="S8" s="19">
        <v>0.72</v>
      </c>
      <c r="T8" s="19">
        <v>0.72</v>
      </c>
      <c r="U8" s="19">
        <v>0.72</v>
      </c>
      <c r="V8" s="19">
        <v>0.72</v>
      </c>
      <c r="W8" s="19">
        <v>0.72</v>
      </c>
      <c r="X8" s="19">
        <v>0.72</v>
      </c>
      <c r="Y8" s="19">
        <v>0.72</v>
      </c>
      <c r="Z8" s="19">
        <v>0.72</v>
      </c>
      <c r="AA8" s="21">
        <v>0.72</v>
      </c>
      <c r="AC8" s="39">
        <v>5</v>
      </c>
      <c r="AD8" s="31">
        <v>0.6</v>
      </c>
      <c r="AE8" s="31">
        <v>0.55000000000000004</v>
      </c>
      <c r="AF8" s="31">
        <v>0.52</v>
      </c>
      <c r="AG8" s="31">
        <v>0.52</v>
      </c>
      <c r="AH8" s="31">
        <v>0.51</v>
      </c>
      <c r="AI8" s="31">
        <v>0.51</v>
      </c>
      <c r="AJ8" s="31">
        <v>0.51</v>
      </c>
      <c r="AK8" s="31">
        <v>0.49</v>
      </c>
      <c r="AL8" s="31">
        <v>0.49</v>
      </c>
      <c r="AM8" s="31">
        <v>0.49</v>
      </c>
      <c r="AN8" s="31">
        <v>0.49</v>
      </c>
      <c r="AO8" s="31">
        <v>0.49</v>
      </c>
      <c r="AP8" s="31">
        <v>0.49</v>
      </c>
      <c r="AQ8" s="40">
        <v>0.49</v>
      </c>
      <c r="AS8" s="39">
        <v>5</v>
      </c>
      <c r="AT8" s="31">
        <v>0.55000000000000004</v>
      </c>
      <c r="AU8" s="31">
        <v>0.55000000000000004</v>
      </c>
      <c r="AV8" s="31">
        <v>0.65</v>
      </c>
      <c r="AW8" s="31">
        <v>0.7</v>
      </c>
      <c r="AX8" s="40">
        <v>0.8</v>
      </c>
      <c r="AZ8" s="39">
        <v>5</v>
      </c>
      <c r="BA8" s="31">
        <v>0.65</v>
      </c>
      <c r="BB8" s="31">
        <v>0.8</v>
      </c>
      <c r="BC8" s="31">
        <v>0.85</v>
      </c>
      <c r="BD8" s="40">
        <v>0.9</v>
      </c>
      <c r="BF8" s="39">
        <v>5</v>
      </c>
      <c r="BG8" s="31">
        <v>0.6</v>
      </c>
      <c r="BH8" s="31">
        <v>0.7</v>
      </c>
      <c r="BI8" s="31">
        <v>0.8</v>
      </c>
      <c r="BJ8" s="40">
        <v>0.9</v>
      </c>
    </row>
    <row r="9" spans="1:62" ht="45" customHeight="1" thickBot="1" x14ac:dyDescent="0.3">
      <c r="A9" s="22">
        <v>5</v>
      </c>
      <c r="B9" s="23" t="s">
        <v>169</v>
      </c>
      <c r="C9" s="23">
        <v>1</v>
      </c>
      <c r="D9" s="23">
        <v>0.87</v>
      </c>
      <c r="E9" s="23">
        <v>0.82</v>
      </c>
      <c r="F9" s="23">
        <v>0.8</v>
      </c>
      <c r="G9" s="23">
        <v>0.8</v>
      </c>
      <c r="H9" s="23">
        <v>0.79</v>
      </c>
      <c r="I9" s="23">
        <v>0.79</v>
      </c>
      <c r="J9" s="23">
        <v>0.78</v>
      </c>
      <c r="K9" s="23">
        <v>0.78</v>
      </c>
      <c r="L9" s="23">
        <v>0.78</v>
      </c>
      <c r="M9" s="23">
        <v>0.78</v>
      </c>
      <c r="N9" s="23">
        <v>0.78</v>
      </c>
      <c r="O9" s="23">
        <v>0.78</v>
      </c>
      <c r="P9" s="23">
        <v>0.78</v>
      </c>
      <c r="Q9" s="23">
        <v>0.78</v>
      </c>
      <c r="R9" s="23">
        <v>0.78</v>
      </c>
      <c r="S9" s="23">
        <v>0.78</v>
      </c>
      <c r="T9" s="23">
        <v>0.78</v>
      </c>
      <c r="U9" s="23">
        <v>0.78</v>
      </c>
      <c r="V9" s="23">
        <v>0.78</v>
      </c>
      <c r="W9" s="23">
        <v>0.78</v>
      </c>
      <c r="X9" s="23">
        <v>0.78</v>
      </c>
      <c r="Y9" s="23">
        <v>0.78</v>
      </c>
      <c r="Z9" s="23">
        <v>0.78</v>
      </c>
      <c r="AA9" s="24">
        <v>0.78</v>
      </c>
      <c r="AC9" s="39">
        <v>6</v>
      </c>
      <c r="AD9" s="31">
        <v>0.57999999999999996</v>
      </c>
      <c r="AE9" s="31">
        <v>0.53</v>
      </c>
      <c r="AF9" s="31">
        <v>0.51</v>
      </c>
      <c r="AG9" s="31">
        <v>0.51</v>
      </c>
      <c r="AH9" s="31">
        <v>0.49</v>
      </c>
      <c r="AI9" s="31">
        <v>0.49</v>
      </c>
      <c r="AJ9" s="31">
        <v>0.49</v>
      </c>
      <c r="AK9" s="31">
        <v>0.48</v>
      </c>
      <c r="AL9" s="31">
        <v>0.48</v>
      </c>
      <c r="AM9" s="31">
        <v>0.48</v>
      </c>
      <c r="AN9" s="31">
        <v>0.48</v>
      </c>
      <c r="AO9" s="31">
        <v>0.48</v>
      </c>
      <c r="AP9" s="31">
        <v>0.48</v>
      </c>
      <c r="AQ9" s="40">
        <v>0.48</v>
      </c>
      <c r="AS9" s="41">
        <v>6</v>
      </c>
      <c r="AT9" s="42">
        <v>0.5</v>
      </c>
      <c r="AU9" s="42">
        <v>0.55000000000000004</v>
      </c>
      <c r="AV9" s="42">
        <v>0.6</v>
      </c>
      <c r="AW9" s="42">
        <v>0.7</v>
      </c>
      <c r="AX9" s="43">
        <v>0.8</v>
      </c>
      <c r="AZ9" s="41">
        <v>6</v>
      </c>
      <c r="BA9" s="42">
        <v>0.6</v>
      </c>
      <c r="BB9" s="42">
        <v>0.8</v>
      </c>
      <c r="BC9" s="49" t="s">
        <v>119</v>
      </c>
      <c r="BD9" s="43">
        <v>0.8</v>
      </c>
      <c r="BF9" s="41">
        <v>6</v>
      </c>
      <c r="BG9" s="42">
        <v>0.6</v>
      </c>
      <c r="BH9" s="42">
        <v>0.7</v>
      </c>
      <c r="BI9" s="49">
        <v>0.8</v>
      </c>
      <c r="BJ9" s="43">
        <v>0.9</v>
      </c>
    </row>
    <row r="10" spans="1:62" ht="4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AC10" s="39">
        <v>7</v>
      </c>
      <c r="AD10" s="31">
        <v>0.57999999999999996</v>
      </c>
      <c r="AE10" s="31">
        <v>0.53</v>
      </c>
      <c r="AF10" s="31">
        <v>0.51</v>
      </c>
      <c r="AG10" s="31">
        <v>0.51</v>
      </c>
      <c r="AH10" s="31">
        <v>0.49</v>
      </c>
      <c r="AI10" s="31">
        <v>0.49</v>
      </c>
      <c r="AJ10" s="31">
        <v>0.49</v>
      </c>
      <c r="AK10" s="31">
        <v>0.48</v>
      </c>
      <c r="AL10" s="31">
        <v>0.48</v>
      </c>
      <c r="AM10" s="31">
        <v>0.48</v>
      </c>
      <c r="AN10" s="31">
        <v>0.48</v>
      </c>
      <c r="AO10" s="31">
        <v>0.48</v>
      </c>
      <c r="AP10" s="31">
        <v>0.48</v>
      </c>
      <c r="AQ10" s="40">
        <v>0.48</v>
      </c>
    </row>
    <row r="11" spans="1:62" ht="4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AC11" s="39">
        <v>8</v>
      </c>
      <c r="AD11" s="31">
        <v>0.57999999999999996</v>
      </c>
      <c r="AE11" s="31">
        <v>0.53</v>
      </c>
      <c r="AF11" s="31">
        <v>0.51</v>
      </c>
      <c r="AG11" s="31">
        <v>0.51</v>
      </c>
      <c r="AH11" s="31">
        <v>0.49</v>
      </c>
      <c r="AI11" s="31">
        <v>0.49</v>
      </c>
      <c r="AJ11" s="31">
        <v>0.49</v>
      </c>
      <c r="AK11" s="31">
        <v>0.48</v>
      </c>
      <c r="AL11" s="31">
        <v>0.48</v>
      </c>
      <c r="AM11" s="31">
        <v>0.48</v>
      </c>
      <c r="AN11" s="31">
        <v>0.48</v>
      </c>
      <c r="AO11" s="31">
        <v>0.48</v>
      </c>
      <c r="AP11" s="31">
        <v>0.48</v>
      </c>
      <c r="AQ11" s="40">
        <v>0.48</v>
      </c>
    </row>
    <row r="12" spans="1:62" ht="4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AC12" s="39">
        <v>9</v>
      </c>
      <c r="AD12" s="31">
        <v>0.56000000000000005</v>
      </c>
      <c r="AE12" s="31">
        <v>0.51</v>
      </c>
      <c r="AF12" s="31">
        <v>0.49</v>
      </c>
      <c r="AG12" s="31">
        <v>0.49</v>
      </c>
      <c r="AH12" s="31">
        <v>0.48</v>
      </c>
      <c r="AI12" s="31">
        <v>0.48</v>
      </c>
      <c r="AJ12" s="31">
        <v>0.48</v>
      </c>
      <c r="AK12" s="31">
        <v>0.46</v>
      </c>
      <c r="AL12" s="31">
        <v>0.46</v>
      </c>
      <c r="AM12" s="31">
        <v>0.46</v>
      </c>
      <c r="AN12" s="31">
        <v>0.46</v>
      </c>
      <c r="AO12" s="31">
        <v>0.46</v>
      </c>
      <c r="AP12" s="31">
        <v>0.46</v>
      </c>
      <c r="AQ12" s="40">
        <v>0.46</v>
      </c>
    </row>
    <row r="13" spans="1:62" ht="4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AC13" s="39">
        <v>10</v>
      </c>
      <c r="AD13" s="31">
        <v>0.56000000000000005</v>
      </c>
      <c r="AE13" s="31">
        <v>0.51</v>
      </c>
      <c r="AF13" s="31">
        <v>0.49</v>
      </c>
      <c r="AG13" s="31">
        <v>0.49</v>
      </c>
      <c r="AH13" s="31">
        <v>0.48</v>
      </c>
      <c r="AI13" s="31">
        <v>0.48</v>
      </c>
      <c r="AJ13" s="31">
        <v>0.48</v>
      </c>
      <c r="AK13" s="31">
        <v>0.46</v>
      </c>
      <c r="AL13" s="31">
        <v>0.46</v>
      </c>
      <c r="AM13" s="31">
        <v>0.46</v>
      </c>
      <c r="AN13" s="31">
        <v>0.46</v>
      </c>
      <c r="AO13" s="31">
        <v>0.46</v>
      </c>
      <c r="AP13" s="31">
        <v>0.46</v>
      </c>
      <c r="AQ13" s="40">
        <v>0.46</v>
      </c>
    </row>
    <row r="14" spans="1:62" ht="4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AC14" s="39">
        <v>11</v>
      </c>
      <c r="AD14" s="31">
        <v>0.56000000000000005</v>
      </c>
      <c r="AE14" s="31">
        <v>0.51</v>
      </c>
      <c r="AF14" s="31">
        <v>0.49</v>
      </c>
      <c r="AG14" s="31">
        <v>0.49</v>
      </c>
      <c r="AH14" s="31">
        <v>0.48</v>
      </c>
      <c r="AI14" s="31">
        <v>0.48</v>
      </c>
      <c r="AJ14" s="31">
        <v>0.48</v>
      </c>
      <c r="AK14" s="31">
        <v>0.46</v>
      </c>
      <c r="AL14" s="31">
        <v>0.46</v>
      </c>
      <c r="AM14" s="31">
        <v>0.46</v>
      </c>
      <c r="AN14" s="31">
        <v>0.46</v>
      </c>
      <c r="AO14" s="31">
        <v>0.46</v>
      </c>
      <c r="AP14" s="31">
        <v>0.46</v>
      </c>
      <c r="AQ14" s="40">
        <v>0.46</v>
      </c>
    </row>
    <row r="15" spans="1:62" ht="4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AC15" s="39">
        <v>12</v>
      </c>
      <c r="AD15" s="31">
        <v>0.56000000000000005</v>
      </c>
      <c r="AE15" s="31">
        <v>0.51</v>
      </c>
      <c r="AF15" s="31">
        <v>0.49</v>
      </c>
      <c r="AG15" s="31">
        <v>0.49</v>
      </c>
      <c r="AH15" s="31">
        <v>0.48</v>
      </c>
      <c r="AI15" s="31">
        <v>0.48</v>
      </c>
      <c r="AJ15" s="31">
        <v>0.48</v>
      </c>
      <c r="AK15" s="31">
        <v>0.46</v>
      </c>
      <c r="AL15" s="31">
        <v>0.46</v>
      </c>
      <c r="AM15" s="31">
        <v>0.46</v>
      </c>
      <c r="AN15" s="31">
        <v>0.46</v>
      </c>
      <c r="AO15" s="31">
        <v>0.46</v>
      </c>
      <c r="AP15" s="31">
        <v>0.46</v>
      </c>
      <c r="AQ15" s="40">
        <v>0.46</v>
      </c>
    </row>
    <row r="16" spans="1:62" ht="4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AC16" s="39">
        <v>13</v>
      </c>
      <c r="AD16" s="31">
        <v>0.56000000000000005</v>
      </c>
      <c r="AE16" s="31">
        <v>0.51</v>
      </c>
      <c r="AF16" s="31">
        <v>0.49</v>
      </c>
      <c r="AG16" s="31">
        <v>0.49</v>
      </c>
      <c r="AH16" s="31">
        <v>0.48</v>
      </c>
      <c r="AI16" s="31">
        <v>0.48</v>
      </c>
      <c r="AJ16" s="31">
        <v>0.48</v>
      </c>
      <c r="AK16" s="31">
        <v>0.46</v>
      </c>
      <c r="AL16" s="31">
        <v>0.46</v>
      </c>
      <c r="AM16" s="31">
        <v>0.46</v>
      </c>
      <c r="AN16" s="31">
        <v>0.46</v>
      </c>
      <c r="AO16" s="31">
        <v>0.46</v>
      </c>
      <c r="AP16" s="31">
        <v>0.46</v>
      </c>
      <c r="AQ16" s="40">
        <v>0.46</v>
      </c>
    </row>
    <row r="17" spans="29:43" ht="45" customHeight="1" x14ac:dyDescent="0.25">
      <c r="AC17" s="39">
        <v>14</v>
      </c>
      <c r="AD17" s="31">
        <v>0.56000000000000005</v>
      </c>
      <c r="AE17" s="31">
        <v>0.51</v>
      </c>
      <c r="AF17" s="31">
        <v>0.49</v>
      </c>
      <c r="AG17" s="31">
        <v>0.49</v>
      </c>
      <c r="AH17" s="31">
        <v>0.48</v>
      </c>
      <c r="AI17" s="31">
        <v>0.48</v>
      </c>
      <c r="AJ17" s="31">
        <v>0.48</v>
      </c>
      <c r="AK17" s="31">
        <v>0.46</v>
      </c>
      <c r="AL17" s="31">
        <v>0.46</v>
      </c>
      <c r="AM17" s="31">
        <v>0.46</v>
      </c>
      <c r="AN17" s="31">
        <v>0.46</v>
      </c>
      <c r="AO17" s="31">
        <v>0.46</v>
      </c>
      <c r="AP17" s="31">
        <v>0.46</v>
      </c>
      <c r="AQ17" s="40">
        <v>0.46</v>
      </c>
    </row>
    <row r="18" spans="29:43" ht="45" customHeight="1" thickBot="1" x14ac:dyDescent="0.3">
      <c r="AC18" s="41">
        <v>15</v>
      </c>
      <c r="AD18" s="42">
        <v>0.56000000000000005</v>
      </c>
      <c r="AE18" s="42">
        <v>0.51</v>
      </c>
      <c r="AF18" s="42">
        <v>0.49</v>
      </c>
      <c r="AG18" s="42">
        <v>0.49</v>
      </c>
      <c r="AH18" s="42">
        <v>0.48</v>
      </c>
      <c r="AI18" s="42">
        <v>0.48</v>
      </c>
      <c r="AJ18" s="42">
        <v>0.48</v>
      </c>
      <c r="AK18" s="42">
        <v>0.46</v>
      </c>
      <c r="AL18" s="42">
        <v>0.46</v>
      </c>
      <c r="AM18" s="42">
        <v>0.46</v>
      </c>
      <c r="AN18" s="42">
        <v>0.46</v>
      </c>
      <c r="AO18" s="42">
        <v>0.46</v>
      </c>
      <c r="AP18" s="42">
        <v>0.46</v>
      </c>
      <c r="AQ18" s="43">
        <v>0.46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60"/>
  <sheetViews>
    <sheetView zoomScaleNormal="100" workbookViewId="0">
      <selection activeCell="E2" sqref="E2"/>
    </sheetView>
  </sheetViews>
  <sheetFormatPr defaultColWidth="20.7109375" defaultRowHeight="12" x14ac:dyDescent="0.25"/>
  <cols>
    <col min="1" max="1" width="20.7109375" style="57"/>
    <col min="2" max="2" width="35" style="57" customWidth="1"/>
    <col min="3" max="16384" width="20.7109375" style="57"/>
  </cols>
  <sheetData>
    <row r="1" spans="1:4" ht="12.75" thickBot="1" x14ac:dyDescent="0.3">
      <c r="A1" s="54" t="s">
        <v>129</v>
      </c>
      <c r="B1" s="55" t="s">
        <v>130</v>
      </c>
      <c r="C1" s="55" t="s">
        <v>131</v>
      </c>
      <c r="D1" s="56" t="s">
        <v>120</v>
      </c>
    </row>
    <row r="2" spans="1:4" ht="80.099999999999994" customHeight="1" x14ac:dyDescent="0.25">
      <c r="A2" s="58">
        <v>1</v>
      </c>
      <c r="B2" s="59" t="s">
        <v>132</v>
      </c>
      <c r="C2" s="59" t="s">
        <v>3</v>
      </c>
      <c r="D2" s="60"/>
    </row>
    <row r="3" spans="1:4" ht="80.099999999999994" customHeight="1" x14ac:dyDescent="0.25">
      <c r="A3" s="61">
        <v>2</v>
      </c>
      <c r="B3" s="62" t="s">
        <v>133</v>
      </c>
      <c r="C3" s="62" t="s">
        <v>4</v>
      </c>
      <c r="D3" s="63"/>
    </row>
    <row r="4" spans="1:4" ht="80.099999999999994" customHeight="1" x14ac:dyDescent="0.25">
      <c r="A4" s="61">
        <v>3</v>
      </c>
      <c r="B4" s="62" t="s">
        <v>124</v>
      </c>
      <c r="C4" s="62" t="s">
        <v>5</v>
      </c>
      <c r="D4" s="63"/>
    </row>
    <row r="5" spans="1:4" ht="80.099999999999994" customHeight="1" x14ac:dyDescent="0.25">
      <c r="A5" s="61">
        <v>4</v>
      </c>
      <c r="B5" s="62"/>
      <c r="C5" s="62" t="s">
        <v>6</v>
      </c>
      <c r="D5" s="63"/>
    </row>
    <row r="6" spans="1:4" ht="80.099999999999994" customHeight="1" x14ac:dyDescent="0.25">
      <c r="A6" s="61">
        <v>5</v>
      </c>
      <c r="B6" s="62"/>
      <c r="C6" s="62" t="s">
        <v>5</v>
      </c>
      <c r="D6" s="63"/>
    </row>
    <row r="7" spans="1:4" ht="80.099999999999994" customHeight="1" x14ac:dyDescent="0.25">
      <c r="A7" s="61">
        <v>6</v>
      </c>
      <c r="B7" s="62"/>
      <c r="C7" s="62" t="s">
        <v>6</v>
      </c>
      <c r="D7" s="63"/>
    </row>
    <row r="8" spans="1:4" ht="80.099999999999994" customHeight="1" x14ac:dyDescent="0.25">
      <c r="A8" s="61">
        <v>7</v>
      </c>
      <c r="B8" s="62"/>
      <c r="C8" s="62" t="s">
        <v>5</v>
      </c>
      <c r="D8" s="63"/>
    </row>
    <row r="9" spans="1:4" ht="80.099999999999994" customHeight="1" x14ac:dyDescent="0.25">
      <c r="A9" s="61">
        <v>8</v>
      </c>
      <c r="B9" s="62"/>
      <c r="C9" s="62" t="s">
        <v>6</v>
      </c>
      <c r="D9" s="63"/>
    </row>
    <row r="10" spans="1:4" ht="80.099999999999994" customHeight="1" x14ac:dyDescent="0.25">
      <c r="A10" s="61">
        <v>11</v>
      </c>
      <c r="B10" s="62"/>
      <c r="C10" s="62" t="s">
        <v>1</v>
      </c>
      <c r="D10" s="63"/>
    </row>
    <row r="11" spans="1:4" ht="80.099999999999994" customHeight="1" x14ac:dyDescent="0.25">
      <c r="A11" s="61" t="s">
        <v>125</v>
      </c>
      <c r="B11" s="62"/>
      <c r="C11" s="62" t="s">
        <v>1</v>
      </c>
      <c r="D11" s="63"/>
    </row>
    <row r="12" spans="1:4" ht="80.099999999999994" customHeight="1" x14ac:dyDescent="0.25">
      <c r="A12" s="61" t="s">
        <v>126</v>
      </c>
      <c r="B12" s="62"/>
      <c r="C12" s="62" t="s">
        <v>1</v>
      </c>
      <c r="D12" s="63"/>
    </row>
    <row r="13" spans="1:4" ht="80.099999999999994" customHeight="1" x14ac:dyDescent="0.25">
      <c r="A13" s="61">
        <v>12</v>
      </c>
      <c r="B13" s="62"/>
      <c r="C13" s="62" t="s">
        <v>1</v>
      </c>
      <c r="D13" s="63"/>
    </row>
    <row r="14" spans="1:4" ht="80.099999999999994" customHeight="1" x14ac:dyDescent="0.25">
      <c r="A14" s="61" t="s">
        <v>134</v>
      </c>
      <c r="B14" s="62" t="s">
        <v>121</v>
      </c>
      <c r="C14" s="62" t="s">
        <v>28</v>
      </c>
      <c r="D14" s="63"/>
    </row>
    <row r="15" spans="1:4" ht="80.099999999999994" customHeight="1" x14ac:dyDescent="0.25">
      <c r="A15" s="61" t="s">
        <v>135</v>
      </c>
      <c r="B15" s="62" t="s">
        <v>122</v>
      </c>
      <c r="C15" s="62" t="s">
        <v>29</v>
      </c>
      <c r="D15" s="63"/>
    </row>
    <row r="16" spans="1:4" ht="80.099999999999994" customHeight="1" x14ac:dyDescent="0.25">
      <c r="A16" s="61" t="s">
        <v>136</v>
      </c>
      <c r="B16" s="62" t="s">
        <v>121</v>
      </c>
      <c r="C16" s="62" t="s">
        <v>28</v>
      </c>
      <c r="D16" s="63"/>
    </row>
    <row r="17" spans="1:4" ht="80.099999999999994" customHeight="1" x14ac:dyDescent="0.25">
      <c r="A17" s="61" t="s">
        <v>137</v>
      </c>
      <c r="B17" s="62" t="s">
        <v>122</v>
      </c>
      <c r="C17" s="62" t="s">
        <v>29</v>
      </c>
      <c r="D17" s="63"/>
    </row>
    <row r="18" spans="1:4" ht="80.099999999999994" customHeight="1" x14ac:dyDescent="0.25">
      <c r="A18" s="61" t="s">
        <v>138</v>
      </c>
      <c r="B18" s="62" t="s">
        <v>121</v>
      </c>
      <c r="C18" s="62" t="s">
        <v>28</v>
      </c>
      <c r="D18" s="63"/>
    </row>
    <row r="19" spans="1:4" ht="80.099999999999994" customHeight="1" x14ac:dyDescent="0.25">
      <c r="A19" s="61" t="s">
        <v>139</v>
      </c>
      <c r="B19" s="62" t="s">
        <v>122</v>
      </c>
      <c r="C19" s="62" t="s">
        <v>29</v>
      </c>
      <c r="D19" s="63"/>
    </row>
    <row r="20" spans="1:4" ht="80.099999999999994" customHeight="1" x14ac:dyDescent="0.25">
      <c r="A20" s="61" t="s">
        <v>140</v>
      </c>
      <c r="B20" s="62" t="s">
        <v>121</v>
      </c>
      <c r="C20" s="62" t="s">
        <v>28</v>
      </c>
      <c r="D20" s="63"/>
    </row>
    <row r="21" spans="1:4" ht="80.099999999999994" customHeight="1" x14ac:dyDescent="0.25">
      <c r="A21" s="61" t="s">
        <v>141</v>
      </c>
      <c r="B21" s="62" t="s">
        <v>122</v>
      </c>
      <c r="C21" s="62" t="s">
        <v>29</v>
      </c>
      <c r="D21" s="63"/>
    </row>
    <row r="22" spans="1:4" ht="80.099999999999994" customHeight="1" x14ac:dyDescent="0.25">
      <c r="A22" s="61" t="s">
        <v>142</v>
      </c>
      <c r="B22" s="62" t="s">
        <v>121</v>
      </c>
      <c r="C22" s="62" t="s">
        <v>28</v>
      </c>
      <c r="D22" s="63"/>
    </row>
    <row r="23" spans="1:4" ht="80.099999999999994" customHeight="1" x14ac:dyDescent="0.25">
      <c r="A23" s="61" t="s">
        <v>143</v>
      </c>
      <c r="B23" s="62" t="s">
        <v>122</v>
      </c>
      <c r="C23" s="62" t="s">
        <v>29</v>
      </c>
      <c r="D23" s="63"/>
    </row>
    <row r="24" spans="1:4" ht="80.099999999999994" customHeight="1" x14ac:dyDescent="0.25">
      <c r="A24" s="61">
        <v>18</v>
      </c>
      <c r="B24" s="62"/>
      <c r="C24" s="62" t="s">
        <v>123</v>
      </c>
      <c r="D24" s="63"/>
    </row>
    <row r="25" spans="1:4" ht="80.099999999999994" customHeight="1" x14ac:dyDescent="0.25">
      <c r="A25" s="61" t="s">
        <v>144</v>
      </c>
      <c r="B25" s="62"/>
      <c r="C25" s="62" t="s">
        <v>6</v>
      </c>
      <c r="D25" s="63"/>
    </row>
    <row r="26" spans="1:4" ht="80.099999999999994" customHeight="1" x14ac:dyDescent="0.25">
      <c r="A26" s="61" t="s">
        <v>145</v>
      </c>
      <c r="B26" s="62"/>
      <c r="C26" s="62" t="s">
        <v>5</v>
      </c>
      <c r="D26" s="63"/>
    </row>
    <row r="27" spans="1:4" ht="80.099999999999994" customHeight="1" x14ac:dyDescent="0.25">
      <c r="A27" s="61" t="s">
        <v>146</v>
      </c>
      <c r="B27" s="62"/>
      <c r="C27" s="62" t="s">
        <v>6</v>
      </c>
      <c r="D27" s="63"/>
    </row>
    <row r="28" spans="1:4" ht="80.099999999999994" customHeight="1" x14ac:dyDescent="0.25">
      <c r="A28" s="61" t="s">
        <v>147</v>
      </c>
      <c r="B28" s="62"/>
      <c r="C28" s="62" t="s">
        <v>5</v>
      </c>
      <c r="D28" s="63"/>
    </row>
    <row r="29" spans="1:4" ht="80.099999999999994" customHeight="1" x14ac:dyDescent="0.25">
      <c r="A29" s="61">
        <v>23</v>
      </c>
      <c r="B29" s="62"/>
      <c r="C29" s="62" t="s">
        <v>6</v>
      </c>
      <c r="D29" s="63"/>
    </row>
    <row r="30" spans="1:4" ht="80.099999999999994" customHeight="1" x14ac:dyDescent="0.25">
      <c r="A30" s="61" t="s">
        <v>148</v>
      </c>
      <c r="B30" s="62"/>
      <c r="C30" s="62" t="s">
        <v>6</v>
      </c>
      <c r="D30" s="63"/>
    </row>
    <row r="31" spans="1:4" ht="80.099999999999994" customHeight="1" x14ac:dyDescent="0.25">
      <c r="A31" s="61" t="s">
        <v>149</v>
      </c>
      <c r="B31" s="62"/>
      <c r="C31" s="62" t="s">
        <v>5</v>
      </c>
      <c r="D31" s="63"/>
    </row>
    <row r="32" spans="1:4" ht="80.099999999999994" customHeight="1" x14ac:dyDescent="0.25">
      <c r="A32" s="61">
        <v>25</v>
      </c>
      <c r="B32" s="62"/>
      <c r="C32" s="62" t="s">
        <v>6</v>
      </c>
      <c r="D32" s="63"/>
    </row>
    <row r="33" spans="1:4" ht="80.099999999999994" customHeight="1" x14ac:dyDescent="0.25">
      <c r="A33" s="61" t="s">
        <v>150</v>
      </c>
      <c r="B33" s="62"/>
      <c r="C33" s="62" t="s">
        <v>6</v>
      </c>
      <c r="D33" s="63"/>
    </row>
    <row r="34" spans="1:4" ht="80.099999999999994" customHeight="1" x14ac:dyDescent="0.25">
      <c r="A34" s="61" t="s">
        <v>151</v>
      </c>
      <c r="B34" s="62"/>
      <c r="C34" s="62" t="s">
        <v>5</v>
      </c>
      <c r="D34" s="63"/>
    </row>
    <row r="35" spans="1:4" ht="80.099999999999994" customHeight="1" x14ac:dyDescent="0.25">
      <c r="A35" s="61">
        <v>27</v>
      </c>
      <c r="B35" s="62"/>
      <c r="C35" s="62" t="s">
        <v>6</v>
      </c>
      <c r="D35" s="63"/>
    </row>
    <row r="36" spans="1:4" ht="80.099999999999994" customHeight="1" x14ac:dyDescent="0.25">
      <c r="A36" s="61">
        <v>31</v>
      </c>
      <c r="B36" s="62"/>
      <c r="C36" s="62" t="s">
        <v>5</v>
      </c>
      <c r="D36" s="63"/>
    </row>
    <row r="37" spans="1:4" ht="80.099999999999994" customHeight="1" x14ac:dyDescent="0.25">
      <c r="A37" s="61">
        <v>32</v>
      </c>
      <c r="B37" s="62"/>
      <c r="C37" s="62" t="s">
        <v>5</v>
      </c>
      <c r="D37" s="63"/>
    </row>
    <row r="38" spans="1:4" ht="80.099999999999994" customHeight="1" x14ac:dyDescent="0.25">
      <c r="A38" s="61" t="s">
        <v>127</v>
      </c>
      <c r="B38" s="62"/>
      <c r="C38" s="62" t="s">
        <v>6</v>
      </c>
      <c r="D38" s="63"/>
    </row>
    <row r="39" spans="1:4" ht="80.099999999999994" customHeight="1" x14ac:dyDescent="0.25">
      <c r="A39" s="61" t="s">
        <v>128</v>
      </c>
      <c r="B39" s="62"/>
      <c r="C39" s="62" t="s">
        <v>6</v>
      </c>
      <c r="D39" s="63"/>
    </row>
    <row r="40" spans="1:4" ht="80.099999999999994" customHeight="1" x14ac:dyDescent="0.25">
      <c r="A40" s="61">
        <v>33</v>
      </c>
      <c r="B40" s="62"/>
      <c r="C40" s="62" t="s">
        <v>5</v>
      </c>
      <c r="D40" s="63"/>
    </row>
    <row r="41" spans="1:4" ht="80.099999999999994" customHeight="1" x14ac:dyDescent="0.25">
      <c r="A41" s="61">
        <v>34</v>
      </c>
      <c r="B41" s="62"/>
      <c r="C41" s="62" t="s">
        <v>6</v>
      </c>
      <c r="D41" s="63"/>
    </row>
    <row r="42" spans="1:4" ht="80.099999999999994" customHeight="1" x14ac:dyDescent="0.25">
      <c r="A42" s="61">
        <v>35</v>
      </c>
      <c r="B42" s="62"/>
      <c r="C42" s="62" t="s">
        <v>5</v>
      </c>
      <c r="D42" s="63"/>
    </row>
    <row r="43" spans="1:4" ht="80.099999999999994" customHeight="1" x14ac:dyDescent="0.25">
      <c r="A43" s="61">
        <v>36</v>
      </c>
      <c r="B43" s="62"/>
      <c r="C43" s="62" t="s">
        <v>6</v>
      </c>
      <c r="D43" s="63"/>
    </row>
    <row r="44" spans="1:4" ht="80.099999999999994" customHeight="1" x14ac:dyDescent="0.25">
      <c r="A44" s="61" t="s">
        <v>152</v>
      </c>
      <c r="B44" s="62"/>
      <c r="C44" s="62" t="s">
        <v>6</v>
      </c>
      <c r="D44" s="63"/>
    </row>
    <row r="45" spans="1:4" ht="80.099999999999994" customHeight="1" x14ac:dyDescent="0.25">
      <c r="A45" s="61" t="s">
        <v>153</v>
      </c>
      <c r="B45" s="62"/>
      <c r="C45" s="62" t="s">
        <v>5</v>
      </c>
      <c r="D45" s="63"/>
    </row>
    <row r="46" spans="1:4" ht="80.099999999999994" customHeight="1" x14ac:dyDescent="0.25">
      <c r="A46" s="61">
        <v>42</v>
      </c>
      <c r="B46" s="62"/>
      <c r="C46" s="62" t="s">
        <v>5</v>
      </c>
      <c r="D46" s="63"/>
    </row>
    <row r="47" spans="1:4" ht="80.099999999999994" customHeight="1" x14ac:dyDescent="0.25">
      <c r="A47" s="61">
        <v>43</v>
      </c>
      <c r="B47" s="62"/>
      <c r="C47" s="62" t="s">
        <v>5</v>
      </c>
      <c r="D47" s="63"/>
    </row>
    <row r="48" spans="1:4" ht="80.099999999999994" customHeight="1" x14ac:dyDescent="0.25">
      <c r="A48" s="61">
        <v>51</v>
      </c>
      <c r="B48" s="62"/>
      <c r="C48" s="62" t="s">
        <v>3</v>
      </c>
      <c r="D48" s="63"/>
    </row>
    <row r="49" spans="1:4" ht="80.099999999999994" customHeight="1" x14ac:dyDescent="0.25">
      <c r="A49" s="61">
        <v>52</v>
      </c>
      <c r="B49" s="62"/>
      <c r="C49" s="62" t="s">
        <v>1</v>
      </c>
      <c r="D49" s="63"/>
    </row>
    <row r="50" spans="1:4" ht="80.099999999999994" customHeight="1" x14ac:dyDescent="0.25">
      <c r="A50" s="61">
        <v>53</v>
      </c>
      <c r="B50" s="62"/>
      <c r="C50" s="62" t="s">
        <v>1</v>
      </c>
      <c r="D50" s="63"/>
    </row>
    <row r="51" spans="1:4" ht="80.099999999999994" customHeight="1" x14ac:dyDescent="0.25">
      <c r="A51" s="61">
        <v>61</v>
      </c>
      <c r="B51" s="62"/>
      <c r="C51" s="62" t="s">
        <v>7</v>
      </c>
      <c r="D51" s="63"/>
    </row>
    <row r="52" spans="1:4" ht="80.099999999999994" customHeight="1" x14ac:dyDescent="0.25">
      <c r="A52" s="61" t="s">
        <v>154</v>
      </c>
      <c r="B52" s="62"/>
      <c r="C52" s="62" t="s">
        <v>7</v>
      </c>
      <c r="D52" s="63"/>
    </row>
    <row r="53" spans="1:4" ht="80.099999999999994" customHeight="1" x14ac:dyDescent="0.25">
      <c r="A53" s="61">
        <v>63</v>
      </c>
      <c r="B53" s="62"/>
      <c r="C53" s="62" t="s">
        <v>7</v>
      </c>
      <c r="D53" s="63"/>
    </row>
    <row r="54" spans="1:4" ht="80.099999999999994" customHeight="1" x14ac:dyDescent="0.25">
      <c r="A54" s="61">
        <v>71</v>
      </c>
      <c r="B54" s="62"/>
      <c r="C54" s="62" t="s">
        <v>3</v>
      </c>
      <c r="D54" s="63"/>
    </row>
    <row r="55" spans="1:4" ht="80.099999999999994" customHeight="1" x14ac:dyDescent="0.25">
      <c r="A55" s="61">
        <v>72</v>
      </c>
      <c r="B55" s="62"/>
      <c r="C55" s="62" t="s">
        <v>5</v>
      </c>
      <c r="D55" s="63"/>
    </row>
    <row r="56" spans="1:4" ht="80.099999999999994" customHeight="1" x14ac:dyDescent="0.25">
      <c r="A56" s="61" t="s">
        <v>155</v>
      </c>
      <c r="B56" s="62"/>
      <c r="C56" s="62" t="s">
        <v>6</v>
      </c>
      <c r="D56" s="63"/>
    </row>
    <row r="57" spans="1:4" ht="80.099999999999994" customHeight="1" x14ac:dyDescent="0.25">
      <c r="A57" s="61">
        <v>73</v>
      </c>
      <c r="B57" s="62"/>
      <c r="C57" s="62" t="s">
        <v>3</v>
      </c>
      <c r="D57" s="63"/>
    </row>
    <row r="58" spans="1:4" ht="80.099999999999994" customHeight="1" x14ac:dyDescent="0.25">
      <c r="A58" s="61">
        <v>74</v>
      </c>
      <c r="B58" s="62"/>
      <c r="C58" s="62" t="s">
        <v>3</v>
      </c>
      <c r="D58" s="63"/>
    </row>
    <row r="59" spans="1:4" ht="80.099999999999994" customHeight="1" x14ac:dyDescent="0.25">
      <c r="A59" s="61" t="s">
        <v>156</v>
      </c>
      <c r="B59" s="62"/>
      <c r="C59" s="62" t="s">
        <v>5</v>
      </c>
      <c r="D59" s="63"/>
    </row>
    <row r="60" spans="1:4" ht="80.099999999999994" customHeight="1" thickBot="1" x14ac:dyDescent="0.3">
      <c r="A60" s="64" t="s">
        <v>157</v>
      </c>
      <c r="B60" s="65"/>
      <c r="C60" s="65" t="s">
        <v>6</v>
      </c>
      <c r="D60" s="66"/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M15"/>
  <sheetViews>
    <sheetView workbookViewId="0">
      <selection activeCell="C5" sqref="C5"/>
    </sheetView>
  </sheetViews>
  <sheetFormatPr defaultRowHeight="15" x14ac:dyDescent="0.25"/>
  <cols>
    <col min="1" max="1" width="15" customWidth="1"/>
    <col min="3" max="3" width="11.85546875" customWidth="1"/>
    <col min="5" max="5" width="12.42578125" bestFit="1" customWidth="1"/>
    <col min="7" max="7" width="11.42578125" customWidth="1"/>
    <col min="9" max="9" width="22.28515625" bestFit="1" customWidth="1"/>
  </cols>
  <sheetData>
    <row r="1" spans="1:13" ht="45.75" thickBot="1" x14ac:dyDescent="0.3">
      <c r="A1" s="28" t="s">
        <v>170</v>
      </c>
      <c r="B1" s="47" t="s">
        <v>27</v>
      </c>
      <c r="C1" s="48" t="s">
        <v>53</v>
      </c>
      <c r="E1" s="28" t="s">
        <v>171</v>
      </c>
      <c r="F1" s="47" t="s">
        <v>27</v>
      </c>
      <c r="G1" s="48" t="s">
        <v>53</v>
      </c>
      <c r="I1" s="28" t="s">
        <v>172</v>
      </c>
      <c r="J1" s="47">
        <v>1</v>
      </c>
      <c r="K1" s="47">
        <v>1.5</v>
      </c>
      <c r="L1" s="47">
        <v>2</v>
      </c>
      <c r="M1" s="48">
        <v>3</v>
      </c>
    </row>
    <row r="2" spans="1:13" ht="15.75" thickBot="1" x14ac:dyDescent="0.3">
      <c r="A2" s="68">
        <v>10</v>
      </c>
      <c r="B2" s="69">
        <v>1.22</v>
      </c>
      <c r="C2" s="70">
        <v>1.1499999999999999</v>
      </c>
      <c r="E2" s="68">
        <v>10</v>
      </c>
      <c r="F2" s="69">
        <v>1.1000000000000001</v>
      </c>
      <c r="G2" s="70">
        <v>1.07</v>
      </c>
      <c r="I2" s="33" t="s">
        <v>173</v>
      </c>
      <c r="J2" s="47">
        <v>1.18</v>
      </c>
      <c r="K2" s="47">
        <v>1.1000000000000001</v>
      </c>
      <c r="L2" s="47">
        <v>1.05</v>
      </c>
      <c r="M2" s="48">
        <v>0.96</v>
      </c>
    </row>
    <row r="3" spans="1:13" x14ac:dyDescent="0.25">
      <c r="A3" s="71">
        <v>15</v>
      </c>
      <c r="B3" s="67">
        <v>1.17</v>
      </c>
      <c r="C3" s="72">
        <v>1.1200000000000001</v>
      </c>
      <c r="E3" s="71">
        <v>15</v>
      </c>
      <c r="F3" s="67">
        <v>1.05</v>
      </c>
      <c r="G3" s="72">
        <v>1.04</v>
      </c>
    </row>
    <row r="4" spans="1:13" x14ac:dyDescent="0.25">
      <c r="A4" s="71">
        <v>25</v>
      </c>
      <c r="B4" s="67">
        <v>1.1200000000000001</v>
      </c>
      <c r="C4" s="72">
        <v>1.08</v>
      </c>
      <c r="E4" s="71">
        <v>25</v>
      </c>
      <c r="F4" s="67">
        <v>0.95</v>
      </c>
      <c r="G4" s="72">
        <v>0.96</v>
      </c>
    </row>
    <row r="5" spans="1:13" x14ac:dyDescent="0.25">
      <c r="A5" s="71">
        <v>30</v>
      </c>
      <c r="B5" s="67">
        <v>1.04</v>
      </c>
      <c r="C5" s="72">
        <v>1.06</v>
      </c>
      <c r="E5" s="71">
        <v>30</v>
      </c>
      <c r="F5" s="67">
        <v>0.89</v>
      </c>
      <c r="G5" s="72">
        <v>0.93</v>
      </c>
    </row>
    <row r="6" spans="1:13" x14ac:dyDescent="0.25">
      <c r="A6" s="71">
        <v>35</v>
      </c>
      <c r="B6" s="67">
        <v>0.94</v>
      </c>
      <c r="C6" s="72">
        <v>0.96</v>
      </c>
      <c r="E6" s="71">
        <v>35</v>
      </c>
      <c r="F6" s="67">
        <v>0.84</v>
      </c>
      <c r="G6" s="72">
        <v>0.89</v>
      </c>
    </row>
    <row r="7" spans="1:13" x14ac:dyDescent="0.25">
      <c r="A7" s="71">
        <v>40</v>
      </c>
      <c r="B7" s="67">
        <v>0.87</v>
      </c>
      <c r="C7" s="72">
        <v>0.91</v>
      </c>
      <c r="E7" s="71">
        <v>40</v>
      </c>
      <c r="F7" s="67">
        <v>0.77</v>
      </c>
      <c r="G7" s="72">
        <v>0.85</v>
      </c>
    </row>
    <row r="8" spans="1:13" x14ac:dyDescent="0.25">
      <c r="A8" s="71">
        <v>45</v>
      </c>
      <c r="B8" s="67">
        <v>0.79</v>
      </c>
      <c r="C8" s="72">
        <v>0.87</v>
      </c>
      <c r="E8" s="71">
        <v>45</v>
      </c>
      <c r="F8" s="67">
        <v>0.71</v>
      </c>
      <c r="G8" s="72">
        <v>0.8</v>
      </c>
    </row>
    <row r="9" spans="1:13" x14ac:dyDescent="0.25">
      <c r="A9" s="71">
        <v>50</v>
      </c>
      <c r="B9" s="67">
        <v>0.71</v>
      </c>
      <c r="C9" s="72">
        <v>0.82</v>
      </c>
      <c r="E9" s="71">
        <v>50</v>
      </c>
      <c r="F9" s="67">
        <v>0.63</v>
      </c>
      <c r="G9" s="72">
        <v>0.76</v>
      </c>
    </row>
    <row r="10" spans="1:13" x14ac:dyDescent="0.25">
      <c r="A10" s="71">
        <v>55</v>
      </c>
      <c r="B10" s="67">
        <v>0.61</v>
      </c>
      <c r="C10" s="72">
        <v>0.76</v>
      </c>
      <c r="E10" s="71">
        <v>55</v>
      </c>
      <c r="F10" s="67">
        <v>0.55000000000000004</v>
      </c>
      <c r="G10" s="72">
        <v>0.71</v>
      </c>
    </row>
    <row r="11" spans="1:13" x14ac:dyDescent="0.25">
      <c r="A11" s="71">
        <v>60</v>
      </c>
      <c r="B11" s="67">
        <v>0.5</v>
      </c>
      <c r="C11" s="72">
        <v>0.71</v>
      </c>
      <c r="E11" s="71">
        <v>60</v>
      </c>
      <c r="F11" s="67">
        <v>0.45</v>
      </c>
      <c r="G11" s="72">
        <v>0.65</v>
      </c>
    </row>
    <row r="12" spans="1:13" x14ac:dyDescent="0.25">
      <c r="A12" s="71">
        <v>65</v>
      </c>
      <c r="B12" s="67"/>
      <c r="C12" s="72">
        <v>0.65</v>
      </c>
      <c r="E12" s="71">
        <v>65</v>
      </c>
      <c r="F12" s="67"/>
      <c r="G12" s="72">
        <v>0.6</v>
      </c>
    </row>
    <row r="13" spans="1:13" x14ac:dyDescent="0.25">
      <c r="A13" s="71">
        <v>70</v>
      </c>
      <c r="B13" s="67"/>
      <c r="C13" s="72">
        <v>0.57999999999999996</v>
      </c>
      <c r="E13" s="71">
        <v>70</v>
      </c>
      <c r="F13" s="67"/>
      <c r="G13" s="72">
        <v>0.53</v>
      </c>
    </row>
    <row r="14" spans="1:13" x14ac:dyDescent="0.25">
      <c r="A14" s="71">
        <v>75</v>
      </c>
      <c r="B14" s="67"/>
      <c r="C14" s="72">
        <v>0.5</v>
      </c>
      <c r="E14" s="71">
        <v>75</v>
      </c>
      <c r="F14" s="67"/>
      <c r="G14" s="72">
        <v>0.46</v>
      </c>
    </row>
    <row r="15" spans="1:13" ht="15.75" thickBot="1" x14ac:dyDescent="0.3">
      <c r="A15" s="73">
        <v>80</v>
      </c>
      <c r="B15" s="49"/>
      <c r="C15" s="74">
        <v>0.41</v>
      </c>
      <c r="E15" s="73">
        <v>80</v>
      </c>
      <c r="F15" s="49"/>
      <c r="G15" s="74">
        <v>0.38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QGFpag16</vt:lpstr>
      <vt:lpstr>QDLpag16</vt:lpstr>
      <vt:lpstr>CCM2pag16</vt:lpstr>
      <vt:lpstr>CCM1pag16</vt:lpstr>
      <vt:lpstr>ExApostila</vt:lpstr>
      <vt:lpstr>QG</vt:lpstr>
      <vt:lpstr>ex111</vt:lpstr>
      <vt:lpstr>ex109</vt:lpstr>
      <vt:lpstr>QDL2</vt:lpstr>
      <vt:lpstr>QDL1</vt:lpstr>
      <vt:lpstr>CCM</vt:lpstr>
      <vt:lpstr>Disjuntores</vt:lpstr>
      <vt:lpstr>Listas</vt:lpstr>
      <vt:lpstr>Neutro e Terra</vt:lpstr>
      <vt:lpstr>Cap de corrente</vt:lpstr>
      <vt:lpstr>Fator de agrupamento</vt:lpstr>
      <vt:lpstr>Método</vt:lpstr>
      <vt:lpstr>Fator de temperatura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Projeto de quadro</dc:title>
  <dc:creator>Chris</dc:creator>
  <cp:keywords>Pessoal</cp:keywords>
  <cp:lastModifiedBy>Usuário do Windows</cp:lastModifiedBy>
  <cp:lastPrinted>2014-05-27T22:16:06Z</cp:lastPrinted>
  <dcterms:created xsi:type="dcterms:W3CDTF">2014-05-19T22:13:03Z</dcterms:created>
  <dcterms:modified xsi:type="dcterms:W3CDTF">2017-04-28T20:16:04Z</dcterms:modified>
</cp:coreProperties>
</file>